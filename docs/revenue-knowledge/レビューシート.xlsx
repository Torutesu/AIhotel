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使い方" sheetId="1" state="visible" r:id="rId1"/>
    <sheet name="ルール一覧" sheetId="2" state="visible" r:id="rId2"/>
    <sheet name="用語集" sheetId="3" state="visible" r:id="rId3"/>
    <sheet name="全体意見" sheetId="4" state="visible" r:id="rId4"/>
  </sheets>
  <definedNames>
    <definedName name="_xlnm._FilterDatabase" localSheetId="1" hidden="1">'ルール一覧'!$A$1:$I$330</definedName>
  </definedNames>
  <calcPr calcId="124519" fullCalcOnLoad="1"/>
</workbook>
</file>

<file path=xl/styles.xml><?xml version="1.0" encoding="utf-8"?>
<styleSheet xmlns="http://schemas.openxmlformats.org/spreadsheetml/2006/main">
  <numFmts count="1">
    <numFmt numFmtId="164" formatCode="yyyy/mm/dd"/>
  </numFmts>
  <fonts count="19">
    <font>
      <name val="Calibri"/>
      <family val="2"/>
      <color theme="1"/>
      <sz val="11"/>
      <scheme val="minor"/>
    </font>
    <font>
      <name val="Yu Gothic"/>
      <b val="1"/>
      <color rgb="0026313C"/>
      <sz val="15"/>
    </font>
    <font>
      <name val="Yu Gothic"/>
      <color rgb="006B7480"/>
      <sz val="10"/>
    </font>
    <font>
      <name val="Yu Gothic"/>
      <b val="1"/>
      <color rgb="0096742F"/>
      <sz val="10.5"/>
    </font>
    <font>
      <name val="Yu Gothic"/>
      <color rgb="0026313C"/>
      <sz val="10.5"/>
    </font>
    <font>
      <name val="Yu Gothic"/>
      <b val="1"/>
      <color rgb="0026313C"/>
      <sz val="10.5"/>
    </font>
    <font>
      <name val="Yu Gothic"/>
      <b val="1"/>
      <color rgb="0026313C"/>
      <sz val="9.5"/>
    </font>
    <font>
      <name val="Yu Gothic"/>
      <i val="1"/>
      <color rgb="006B7480"/>
      <sz val="9.5"/>
    </font>
    <font>
      <name val="Yu Gothic"/>
      <color rgb="006B7480"/>
      <sz val="10.5"/>
    </font>
    <font>
      <name val="Yu Gothic"/>
      <b val="1"/>
      <color rgb="00B3572A"/>
      <sz val="10.5"/>
    </font>
    <font>
      <name val="Yu Gothic"/>
      <color rgb="0026313C"/>
      <sz val="10"/>
    </font>
    <font>
      <name val="Yu Gothic"/>
      <color rgb="006B7480"/>
      <sz val="9.5"/>
    </font>
    <font>
      <name val="Yu Gothic"/>
      <b val="1"/>
      <color rgb="0026313C"/>
      <sz val="10"/>
    </font>
    <font>
      <name val="Yu Gothic"/>
      <b val="1"/>
      <color rgb="00FFFFFF"/>
      <sz val="10.5"/>
    </font>
    <font>
      <name val="Yu Gothic"/>
      <b val="1"/>
      <color rgb="0096742F"/>
      <sz val="9.5"/>
    </font>
    <font>
      <name val="Yu Gothic"/>
      <color rgb="006B7480"/>
      <sz val="9"/>
    </font>
    <font>
      <name val="Yu Gothic"/>
      <color rgb="0026313C"/>
      <sz val="9"/>
    </font>
    <font>
      <name val="Yu Gothic"/>
      <color rgb="0026313C"/>
      <sz val="9.5"/>
    </font>
    <font>
      <name val="Yu Gothic"/>
      <b val="1"/>
      <color rgb="0026313C"/>
      <sz val="13"/>
    </font>
  </fonts>
  <fills count="13">
    <fill>
      <patternFill/>
    </fill>
    <fill>
      <patternFill patternType="gray125"/>
    </fill>
    <fill>
      <patternFill patternType="solid">
        <fgColor rgb="00FFF2B8"/>
      </patternFill>
    </fill>
    <fill>
      <patternFill patternType="solid">
        <fgColor rgb="00EFECE4"/>
      </patternFill>
    </fill>
    <fill>
      <patternFill patternType="solid">
        <fgColor rgb="0026313C"/>
      </patternFill>
    </fill>
    <fill>
      <patternFill patternType="solid">
        <fgColor rgb="00E5F0EC"/>
      </patternFill>
    </fill>
    <fill>
      <patternFill patternType="solid">
        <fgColor rgb="00FFFBEB"/>
      </patternFill>
    </fill>
    <fill>
      <patternFill patternType="solid">
        <fgColor rgb="00E8EEF5"/>
      </patternFill>
    </fill>
    <fill>
      <patternFill patternType="solid">
        <fgColor rgb="00FFF4DD"/>
      </patternFill>
    </fill>
    <fill>
      <patternFill patternType="solid">
        <fgColor rgb="00FBE9E7"/>
      </patternFill>
    </fill>
    <fill>
      <patternFill patternType="solid">
        <fgColor rgb="00E4F2F3"/>
      </patternFill>
    </fill>
    <fill>
      <patternFill patternType="solid">
        <fgColor rgb="00F3E9F7"/>
      </patternFill>
    </fill>
    <fill>
      <patternFill patternType="solid">
        <fgColor rgb="00F1E4E4"/>
      </patternFill>
    </fill>
  </fills>
  <borders count="2">
    <border>
      <left/>
      <right/>
      <top/>
      <bottom/>
      <diagonal/>
    </border>
    <border>
      <left style="thin">
        <color rgb="00D9D4C9"/>
      </left>
      <right style="thin">
        <color rgb="00D9D4C9"/>
      </right>
      <top style="thin">
        <color rgb="00D9D4C9"/>
      </top>
      <bottom style="thin">
        <color rgb="00D9D4C9"/>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2" borderId="1" pivotButton="0" quotePrefix="0" xfId="0"/>
    <xf numFmtId="164" fontId="4" fillId="2" borderId="1" pivotButton="0" quotePrefix="0" xfId="0"/>
    <xf numFmtId="0" fontId="6" fillId="3" borderId="1" pivotButton="0" quotePrefix="0" xfId="0"/>
    <xf numFmtId="0" fontId="7" fillId="0" borderId="1" applyAlignment="1" pivotButton="0" quotePrefix="0" xfId="0">
      <alignment vertical="top" wrapText="1"/>
    </xf>
    <xf numFmtId="0" fontId="4"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3" borderId="1" applyAlignment="1" pivotButton="0" quotePrefix="0" xfId="0">
      <alignment horizontal="center" vertical="center" wrapText="1"/>
    </xf>
    <xf numFmtId="0" fontId="13" fillId="4" borderId="0" applyAlignment="1" pivotButton="0" quotePrefix="0" xfId="0">
      <alignment vertical="center"/>
    </xf>
    <xf numFmtId="0" fontId="14" fillId="0" borderId="1" applyAlignment="1" pivotButton="0" quotePrefix="0" xfId="0">
      <alignment horizontal="center" vertical="top"/>
    </xf>
    <xf numFmtId="0" fontId="15" fillId="0" borderId="1" applyAlignment="1" pivotButton="0" quotePrefix="0" xfId="0">
      <alignment vertical="top" wrapText="1"/>
    </xf>
    <xf numFmtId="0" fontId="12" fillId="0" borderId="1" applyAlignment="1" pivotButton="0" quotePrefix="0" xfId="0">
      <alignment vertical="top" wrapText="1"/>
    </xf>
    <xf numFmtId="0" fontId="16" fillId="5" borderId="1" applyAlignment="1" pivotButton="0" quotePrefix="0" xfId="0">
      <alignment horizontal="center" vertical="center" wrapText="1"/>
    </xf>
    <xf numFmtId="0" fontId="10" fillId="0" borderId="1" applyAlignment="1" pivotButton="0" quotePrefix="0" xfId="0">
      <alignment vertical="top" wrapText="1"/>
    </xf>
    <xf numFmtId="0" fontId="17" fillId="0" borderId="1" applyAlignment="1" pivotButton="0" quotePrefix="0" xfId="0">
      <alignment vertical="top" wrapText="1"/>
    </xf>
    <xf numFmtId="0" fontId="10" fillId="2" borderId="1" applyAlignment="1" pivotButton="0" quotePrefix="0" xfId="0">
      <alignment horizontal="center" vertical="center" wrapText="1"/>
    </xf>
    <xf numFmtId="0" fontId="10" fillId="6" borderId="1" applyAlignment="1" pivotButton="0" quotePrefix="0" xfId="0">
      <alignment vertical="top" wrapText="1"/>
    </xf>
    <xf numFmtId="0" fontId="16" fillId="7" borderId="1" applyAlignment="1" pivotButton="0" quotePrefix="0" xfId="0">
      <alignment horizontal="center" vertical="center" wrapText="1"/>
    </xf>
    <xf numFmtId="0" fontId="16"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16" fillId="10" borderId="1" applyAlignment="1" pivotButton="0" quotePrefix="0" xfId="0">
      <alignment horizontal="center" vertical="center" wrapText="1"/>
    </xf>
    <xf numFmtId="0" fontId="16" fillId="11" borderId="1" applyAlignment="1" pivotButton="0" quotePrefix="0" xfId="0">
      <alignment horizontal="center" vertical="center" wrapText="1"/>
    </xf>
    <xf numFmtId="0" fontId="16" fillId="12" borderId="1" applyAlignment="1" pivotButton="0" quotePrefix="0" xfId="0">
      <alignment horizontal="center" vertical="center" wrapText="1"/>
    </xf>
    <xf numFmtId="0" fontId="10" fillId="0" borderId="1" applyAlignment="1" pivotButton="0" quotePrefix="0" xfId="0">
      <alignment horizontal="center" vertical="top"/>
    </xf>
    <xf numFmtId="0" fontId="18" fillId="0" borderId="0" pivotButton="0" quotePrefix="0" xfId="0"/>
    <xf numFmtId="0" fontId="5" fillId="0" borderId="0" applyAlignment="1" pivotButton="0" quotePrefix="0" xfId="0">
      <alignment vertical="top" wrapText="1"/>
    </xf>
    <xf numFmtId="0" fontId="4" fillId="2" borderId="1" applyAlignment="1" pivotButton="0" quotePrefix="0" xfId="0">
      <alignment vertical="top" wrapText="1"/>
    </xf>
  </cellXfs>
  <cellStyles count="1">
    <cellStyle name="Normal" xfId="0" builtinId="0" hidden="0"/>
  </cellStyles>
  <dxfs count="2">
    <dxf>
      <font>
        <name val="Yu Gothic"/>
        <b val="1"/>
        <color rgb="002E7D4F"/>
        <sz val="10"/>
      </font>
      <fill>
        <patternFill patternType="solid">
          <fgColor rgb="00E3EFE7"/>
        </patternFill>
      </fill>
    </dxf>
    <dxf>
      <font>
        <name val="Yu Gothic"/>
        <b val="1"/>
        <color rgb="00B3572A"/>
        <sz val="10"/>
      </font>
      <fill>
        <patternFill patternType="solid">
          <fgColor rgb="00F6E0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40"/>
  <sheetViews>
    <sheetView showGridLines="0" workbookViewId="0">
      <selection activeCell="A1" sqref="A1"/>
    </sheetView>
  </sheetViews>
  <sheetFormatPr baseColWidth="8" defaultRowHeight="15"/>
  <cols>
    <col width="3" customWidth="1" min="1" max="1"/>
    <col width="26" customWidth="1" min="2" max="2"/>
    <col width="62" customWidth="1" min="3" max="3"/>
    <col width="12" customWidth="1" min="4" max="4"/>
    <col width="40" customWidth="1" min="5" max="5"/>
  </cols>
  <sheetData>
    <row r="2">
      <c r="B2" s="1" t="inlineStr">
        <is>
          <t>ホテルレベニューマネジメント知識ベース　レビューシート</t>
        </is>
      </c>
    </row>
    <row r="3">
      <c r="B3" s="2" t="inlineStr">
        <is>
          <t>レビュー用ドラフト v3.0（2026-09）｜ ルール 311 項目 ＋ 用語 50 語</t>
        </is>
      </c>
    </row>
    <row r="5" ht="62" customHeight="1">
      <c r="B5" s="3" t="inlineStr">
        <is>
          <t>このシートについて</t>
        </is>
      </c>
      <c r="C5" s="4" t="inlineStr">
        <is>
          <t>AIレベニュー管理システムが需要予測・価格推奨・アラート・AIコメントの判断基準として参照する「レベニュー担当者の知識ベース」です。各行が1つのルール（定義・計算式・判定ルール・アクション等）になっています。実務経験に照らして、正しいか・現場感覚と合っているかをご確認ください。新しく書いていただくものはありません。</t>
        </is>
      </c>
    </row>
    <row r="6" ht="62" customHeight="1">
      <c r="B6" s="3" t="inlineStr">
        <is>
          <t>記入方法</t>
        </is>
      </c>
      <c r="C6" s="4" t="inlineStr">
        <is>
          <t>①下の黄色セルにお名前を記入 → ②「ルール一覧」タブの各行を読み、判定列（黄色）でプルダウンから「問題なし / 修正あり / わからない」を選択 → ③修正ありの場合はコメント列に修正案・理由（メモ書きでOK） → ④「用語集」「全体意見」タブも同様に。</t>
        </is>
      </c>
    </row>
    <row r="7" ht="62" customHeight="1">
      <c r="B7" s="3" t="inlineStr">
        <is>
          <t>列の見方</t>
        </is>
      </c>
      <c r="C7" s="4" t="inlineStr">
        <is>
          <t>「種別」= そのルールの性質（定義／計算式／判定ルール／アクション／注意／アンチパターン／説明ルール）。「推奨パラメータ」= 汎用的な初期値の提案であり、実際のシステム設定値はホテルごとに調整します（この数値の妥当性も見ていただきたい点です）。「システム対応」= 本システムのどの機能・データに関係するか（参考情報。読み飛ばして構いません）。</t>
        </is>
      </c>
    </row>
    <row r="8" ht="62" customHeight="1">
      <c r="B8" s="3" t="inlineStr">
        <is>
          <t>所要時間の目安</t>
        </is>
      </c>
      <c r="C8" s="4" t="inlineStr">
        <is>
          <t>約300行あります。60〜90分。優先順位があれば カテゴリ C（需要予測）・D（需要レベル）・E（価格決定）・Q（経験則）を先に。全部埋まらなくても構いません。</t>
        </is>
      </c>
    </row>
    <row r="9" ht="62" customHeight="1">
      <c r="B9" s="3" t="inlineStr">
        <is>
          <t>返送方法</t>
        </is>
      </c>
      <c r="C9" s="4" t="inlineStr">
        <is>
          <t>記入後、このファイルをそのままメール等でご返送ください。複数名の回答は行のIDをキーに自動で集計します。</t>
        </is>
      </c>
    </row>
    <row r="11">
      <c r="B11" s="5" t="inlineStr">
        <is>
          <t>お名前</t>
        </is>
      </c>
      <c r="C11" s="6" t="inlineStr"/>
    </row>
    <row r="12">
      <c r="B12" s="5" t="inlineStr">
        <is>
          <t>記入日</t>
        </is>
      </c>
      <c r="C12" s="7" t="inlineStr"/>
    </row>
    <row r="14">
      <c r="B14" s="3" t="inlineStr">
        <is>
          <t>記入例</t>
        </is>
      </c>
    </row>
    <row r="15">
      <c r="B15" s="8" t="inlineStr">
        <is>
          <t>項目</t>
        </is>
      </c>
      <c r="C15" s="8" t="inlineStr">
        <is>
          <t>内容</t>
        </is>
      </c>
      <c r="D15" s="8" t="inlineStr">
        <is>
          <t>判定</t>
        </is>
      </c>
      <c r="E15" s="8" t="inlineStr">
        <is>
          <t>コメント</t>
        </is>
      </c>
    </row>
    <row r="16" ht="48" customHeight="1">
      <c r="B16" s="9" t="inlineStr">
        <is>
          <t>残在庫による調整</t>
        </is>
      </c>
      <c r="C16" s="9" t="inlineStr">
        <is>
          <t>残在庫 ≤10% → +3ランク、≤20% → +2、≤30% → +1 …</t>
        </is>
      </c>
      <c r="D16" s="9" t="inlineStr">
        <is>
          <t>修正あり</t>
        </is>
      </c>
      <c r="E16" s="9" t="inlineStr">
        <is>
          <t>方向は正しいが、当館では残10%で+3は大きすぎる。+2が現実的。閑散期は残30%でも上げない方がよい</t>
        </is>
      </c>
    </row>
    <row r="18">
      <c r="B18" s="3" t="inlineStr">
        <is>
          <t>回答状況</t>
        </is>
      </c>
    </row>
    <row r="19">
      <c r="B19" s="10" t="inlineStr">
        <is>
          <t>ルール一覧 回答済み</t>
        </is>
      </c>
      <c r="C19" s="5">
        <f>COUNTIF('ルール一覧'!G:G,"問題なし")+COUNTIF('ルール一覧'!G:G,"修正あり")+COUNTIF('ルール一覧'!G:G,"わからない")</f>
        <v/>
      </c>
      <c r="D19" s="11" t="inlineStr">
        <is>
          <t>/ 311</t>
        </is>
      </c>
    </row>
    <row r="20">
      <c r="B20" s="10" t="inlineStr">
        <is>
          <t>うち「修正あり」</t>
        </is>
      </c>
      <c r="C20" s="12">
        <f>COUNTIF('ルール一覧'!G:G,"修正あり")</f>
        <v/>
      </c>
    </row>
    <row r="22">
      <c r="B22" s="3" t="inlineStr">
        <is>
          <t>カテゴリ一覧</t>
        </is>
      </c>
    </row>
    <row r="23">
      <c r="B23" s="13" t="inlineStr">
        <is>
          <t>A　指標・計算定義</t>
        </is>
      </c>
      <c r="C23" s="14" t="inlineStr">
        <is>
          <t>22 項目 ｜ 関連: F-DASH-01 / DailyData</t>
        </is>
      </c>
    </row>
    <row r="24">
      <c r="B24" s="13" t="inlineStr">
        <is>
          <t>B　データ品質・前処理</t>
        </is>
      </c>
      <c r="C24" s="14" t="inlineStr">
        <is>
          <t>14 項目 ｜ 関連: DailyData / BookingCurveData / OtaChannelData</t>
        </is>
      </c>
    </row>
    <row r="25">
      <c r="B25" s="13" t="inlineStr">
        <is>
          <t>C　需要予測</t>
        </is>
      </c>
      <c r="C25" s="14" t="inlineStr">
        <is>
          <t>32 項目 ｜ 関連: F-DP-05 / AiPriceRecommendation / ruleBasedForecaster</t>
        </is>
      </c>
    </row>
    <row r="26">
      <c r="B26" s="13" t="inlineStr">
        <is>
          <t>D　需要レベル判定</t>
        </is>
      </c>
      <c r="C26" s="14" t="inlineStr">
        <is>
          <t>12 項目 ｜ 関連: DemandLevel A〜E</t>
        </is>
      </c>
    </row>
    <row r="27">
      <c r="B27" s="13" t="inlineStr">
        <is>
          <t>E　価格決定</t>
        </is>
      </c>
      <c r="C27" s="14" t="inlineStr">
        <is>
          <t>39 項目 ｜ 関連: F-DP-01 / F-DP-02 / F-DP-03 / PricingStrategyConfig</t>
        </is>
      </c>
    </row>
    <row r="28">
      <c r="B28" s="13" t="inlineStr">
        <is>
          <t>F　料金ランク運用</t>
        </is>
      </c>
      <c r="C28" s="14" t="inlineStr">
        <is>
          <t>12 項目 ｜ 関連: F-SET-02 / PriceRank（40段階・1P/2P/3P/4P）</t>
        </is>
      </c>
    </row>
    <row r="29">
      <c r="B29" s="13" t="inlineStr">
        <is>
          <t>G　在庫・販売制限</t>
        </is>
      </c>
      <c r="C29" s="14" t="inlineStr">
        <is>
          <t>14 項目 ｜ 関連: （推奨提示のみ。書き戻しはスコープ外）</t>
        </is>
      </c>
    </row>
    <row r="30">
      <c r="B30" s="13" t="inlineStr">
        <is>
          <t>H　イベント・外部要因</t>
        </is>
      </c>
      <c r="C30" s="14" t="inlineStr">
        <is>
          <t>16 項目 ｜ 関連: F-DP-07 / Event / DailyData.isHoliday</t>
        </is>
      </c>
    </row>
    <row r="31">
      <c r="B31" s="13" t="inlineStr">
        <is>
          <t>I　競合分析</t>
        </is>
      </c>
      <c r="C31" s="14" t="inlineStr">
        <is>
          <t>16 項目 ｜ 関連: F-DP-06 / F-DAILY-03 / F-ANA-02 / CompetitorPriceData</t>
        </is>
      </c>
    </row>
    <row r="32">
      <c r="B32" s="13" t="inlineStr">
        <is>
          <t>J　販売チャネル</t>
        </is>
      </c>
      <c r="C32" s="14" t="inlineStr">
        <is>
          <t>14 項目 ｜ 関連: OtaChannelData / Campaign</t>
        </is>
      </c>
    </row>
    <row r="33">
      <c r="B33" s="13" t="inlineStr">
        <is>
          <t>K　セグメント・団体</t>
        </is>
      </c>
      <c r="C33" s="14" t="inlineStr">
        <is>
          <t>16 項目 ｜ 関連: F-SET-05 / GroupBooking</t>
        </is>
      </c>
    </row>
    <row r="34">
      <c r="B34" s="13" t="inlineStr">
        <is>
          <t>L　利用人数別・部屋タイプ</t>
        </is>
      </c>
      <c r="C34" s="14" t="inlineStr">
        <is>
          <t>10 項目 ｜ 関連: F-ANA-01 / DailyRoomData / DOR</t>
        </is>
      </c>
    </row>
    <row r="35">
      <c r="B35" s="13" t="inlineStr">
        <is>
          <t>M　フォーキャスト・予算・着地</t>
        </is>
      </c>
      <c r="C35" s="14" t="inlineStr">
        <is>
          <t>16 項目 ｜ 関連: F-DP-04 / F-DASH-02 / MonthlyBudget / MonthlyLandingSimulation</t>
        </is>
      </c>
    </row>
    <row r="36">
      <c r="B36" s="13" t="inlineStr">
        <is>
          <t>N　アラート・例外検知</t>
        </is>
      </c>
      <c r="C36" s="14" t="inlineStr">
        <is>
          <t>18 項目 ｜ 関連: F-DASH-05 / Alert（Level 1〜5）</t>
        </is>
      </c>
    </row>
    <row r="37">
      <c r="B37" s="13" t="inlineStr">
        <is>
          <t>O　AIコメント・説明生成</t>
        </is>
      </c>
      <c r="C37" s="14" t="inlineStr">
        <is>
          <t>18 項目 ｜ 関連: F-DASH-06 / AiComment</t>
        </is>
      </c>
    </row>
    <row r="38">
      <c r="B38" s="13" t="inlineStr">
        <is>
          <t>P　業務サイクル</t>
        </is>
      </c>
      <c r="C38" s="14" t="inlineStr">
        <is>
          <t>12 項目 ｜ 関連: 運用全般</t>
        </is>
      </c>
    </row>
    <row r="39">
      <c r="B39" s="13" t="inlineStr">
        <is>
          <t>Q　判断の経験則</t>
        </is>
      </c>
      <c r="C39" s="14" t="inlineStr">
        <is>
          <t>16 項目 ｜ 関連: 運用全般</t>
        </is>
      </c>
    </row>
    <row r="40">
      <c r="B40" s="13" t="inlineStr">
        <is>
          <t>R　アンチパターン</t>
        </is>
      </c>
      <c r="C40" s="14" t="inlineStr">
        <is>
          <t>14 項目 ｜ 関連: 運用全般</t>
        </is>
      </c>
    </row>
  </sheetData>
  <mergeCells count="5">
    <mergeCell ref="C5:E5"/>
    <mergeCell ref="C8:E8"/>
    <mergeCell ref="C9:E9"/>
    <mergeCell ref="C7:E7"/>
    <mergeCell ref="C6:E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0"/>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22" customWidth="1" min="3" max="3"/>
    <col width="11" customWidth="1" min="4" max="4"/>
    <col width="74" customWidth="1" min="5" max="5"/>
    <col width="26" customWidth="1" min="6" max="6"/>
    <col width="12" customWidth="1" min="7" max="7"/>
    <col width="44" customWidth="1" min="8" max="8"/>
    <col width="30" customWidth="1" min="9" max="9"/>
  </cols>
  <sheetData>
    <row r="1" ht="32" customHeight="1">
      <c r="A1" s="15" t="inlineStr">
        <is>
          <t>ID</t>
        </is>
      </c>
      <c r="B1" s="15" t="inlineStr">
        <is>
          <t>カテゴリ</t>
        </is>
      </c>
      <c r="C1" s="15" t="inlineStr">
        <is>
          <t>項目</t>
        </is>
      </c>
      <c r="D1" s="15" t="inlineStr">
        <is>
          <t>種別</t>
        </is>
      </c>
      <c r="E1" s="15" t="inlineStr">
        <is>
          <t>内容（条件 → アクション → 根拠）</t>
        </is>
      </c>
      <c r="F1" s="15" t="inlineStr">
        <is>
          <t>推奨パラメータ（初期値）</t>
        </is>
      </c>
      <c r="G1" s="15" t="inlineStr">
        <is>
          <t>判定</t>
        </is>
      </c>
      <c r="H1" s="15" t="inlineStr">
        <is>
          <t>コメント（修正案・現場ではこうする 等）</t>
        </is>
      </c>
      <c r="I1" s="15" t="inlineStr">
        <is>
          <t>システム対応（参考）</t>
        </is>
      </c>
    </row>
    <row r="2" ht="22" customHeight="1">
      <c r="A2" s="16" t="inlineStr">
        <is>
          <t>A　指標・計算定義　　（関連: F-DASH-01 / DailyData）</t>
        </is>
      </c>
    </row>
    <row r="3" ht="51" customHeight="1">
      <c r="A3" s="17" t="inlineStr">
        <is>
          <t>A-01</t>
        </is>
      </c>
      <c r="B3" s="18" t="inlineStr">
        <is>
          <t>指標・計算定義</t>
        </is>
      </c>
      <c r="C3" s="19" t="inlineStr">
        <is>
          <t>OCC（稼働率）</t>
        </is>
      </c>
      <c r="D3" s="20" t="inlineStr">
        <is>
          <t>計算式</t>
        </is>
      </c>
      <c r="E3" s="21" t="inlineStr">
        <is>
          <t>OCC = 販売客室数 ÷ 販売可能客室数。販売可能客室数は総客室数から OOO（故障・改装で販売不能）を除いた数。無料提供（コンプ）や社用利用は販売数に含めない。</t>
        </is>
      </c>
      <c r="F3" s="22" t="inlineStr">
        <is>
          <t>OOO除外・コンプ除外</t>
        </is>
      </c>
      <c r="G3" s="23" t="inlineStr"/>
      <c r="H3" s="24" t="inlineStr"/>
      <c r="I3" s="18" t="inlineStr">
        <is>
          <t>DailyData.occupancy / soldRooms</t>
        </is>
      </c>
    </row>
    <row r="4" ht="36" customHeight="1">
      <c r="A4" s="17" t="inlineStr">
        <is>
          <t>A-02</t>
        </is>
      </c>
      <c r="B4" s="18" t="inlineStr">
        <is>
          <t>指標・計算定義</t>
        </is>
      </c>
      <c r="C4" s="19" t="inlineStr">
        <is>
          <t>ADR（平均客室単価）</t>
        </is>
      </c>
      <c r="D4" s="20" t="inlineStr">
        <is>
          <t>計算式</t>
        </is>
      </c>
      <c r="E4" s="21" t="inlineStr">
        <is>
          <t>ADR = 客室売上 ÷ 販売客室数。客室売上は税・サービス料・朝食等の付帯を除いた純客室料金で統一する。混在するとチャネル別・前年比較が崩れる。</t>
        </is>
      </c>
      <c r="F4" s="22" t="inlineStr">
        <is>
          <t>税抜・付帯除外で統一</t>
        </is>
      </c>
      <c r="G4" s="23" t="inlineStr"/>
      <c r="H4" s="24" t="inlineStr"/>
      <c r="I4" s="18" t="inlineStr">
        <is>
          <t>DailyData.adr</t>
        </is>
      </c>
    </row>
    <row r="5" ht="36" customHeight="1">
      <c r="A5" s="17" t="inlineStr">
        <is>
          <t>A-03</t>
        </is>
      </c>
      <c r="B5" s="18" t="inlineStr">
        <is>
          <t>指標・計算定義</t>
        </is>
      </c>
      <c r="C5" s="19" t="inlineStr">
        <is>
          <t>RevPAR</t>
        </is>
      </c>
      <c r="D5" s="20" t="inlineStr">
        <is>
          <t>計算式</t>
        </is>
      </c>
      <c r="E5" s="21" t="inlineStr">
        <is>
          <t>RevPAR = 客室売上 ÷ 販売可能客室数 = OCC × ADR。RMの最重要指標。稼働と単価のどちらが効いたかは必ず分解して読む。</t>
        </is>
      </c>
      <c r="F5" s="22" t="inlineStr">
        <is>
          <t>—</t>
        </is>
      </c>
      <c r="G5" s="23" t="inlineStr"/>
      <c r="H5" s="24" t="inlineStr"/>
      <c r="I5" s="18" t="inlineStr">
        <is>
          <t>DailyData.revPar（REV-Per）</t>
        </is>
      </c>
    </row>
    <row r="6" ht="51" customHeight="1">
      <c r="A6" s="17" t="inlineStr">
        <is>
          <t>A-04</t>
        </is>
      </c>
      <c r="B6" s="18" t="inlineStr">
        <is>
          <t>指標・計算定義</t>
        </is>
      </c>
      <c r="C6" s="19" t="inlineStr">
        <is>
          <t>RevPARの分解</t>
        </is>
      </c>
      <c r="D6" s="20" t="inlineStr">
        <is>
          <t>計算式</t>
        </is>
      </c>
      <c r="E6" s="21" t="inlineStr">
        <is>
          <t>RevPAR変化率 ≒ OCC変化率 ＋ ADR変化率（小さい変化では加法近似）。例: OCC +5%・ADR −3% → RevPAR ≒ +2%。前年比・予算比の説明は必ずこの2要因に分ける。</t>
        </is>
      </c>
      <c r="F6" s="22" t="inlineStr">
        <is>
          <t>—</t>
        </is>
      </c>
      <c r="G6" s="23" t="inlineStr"/>
      <c r="H6" s="24" t="inlineStr"/>
      <c r="I6" s="18" t="inlineStr">
        <is>
          <t>F-DASH-02 予算比・前年比</t>
        </is>
      </c>
    </row>
    <row r="7" ht="51" customHeight="1">
      <c r="A7" s="17" t="inlineStr">
        <is>
          <t>A-05</t>
        </is>
      </c>
      <c r="B7" s="18" t="inlineStr">
        <is>
          <t>指標・計算定義</t>
        </is>
      </c>
      <c r="C7" s="19" t="inlineStr">
        <is>
          <t>TRevPAR / GOPPAR</t>
        </is>
      </c>
      <c r="D7" s="25" t="inlineStr">
        <is>
          <t>定義</t>
        </is>
      </c>
      <c r="E7" s="21" t="inlineStr">
        <is>
          <t>TRevPAR = 総売上（料飲・宴会等含む）÷ 販売可能客室数。GOPPAR = 営業総利益 ÷ 販売可能客室数。客室単価を下げて料飲で回収する判断はTRevPARで、コストを含む最終評価はGOPPARで行う。</t>
        </is>
      </c>
      <c r="F7" s="22" t="inlineStr">
        <is>
          <t>—</t>
        </is>
      </c>
      <c r="G7" s="23" t="inlineStr"/>
      <c r="H7" s="24" t="inlineStr"/>
      <c r="I7" s="18" t="inlineStr">
        <is>
          <t>将来拡張</t>
        </is>
      </c>
    </row>
    <row r="8" ht="51" customHeight="1">
      <c r="A8" s="17" t="inlineStr">
        <is>
          <t>A-06</t>
        </is>
      </c>
      <c r="B8" s="18" t="inlineStr">
        <is>
          <t>指標・計算定義</t>
        </is>
      </c>
      <c r="C8" s="19" t="inlineStr">
        <is>
          <t>DOR（1室あたり利用人数）</t>
        </is>
      </c>
      <c r="D8" s="20" t="inlineStr">
        <is>
          <t>計算式</t>
        </is>
      </c>
      <c r="E8" s="21" t="inlineStr">
        <is>
          <t>DOR = 宿泊人数 ÷ 販売室数。人数課金（1P/2P/3P）のホテルでは DOR が上がるほど同じ室数でも売上が増える。利用人数別分析の基礎指標。</t>
        </is>
      </c>
      <c r="F8" s="22" t="inlineStr">
        <is>
          <t>—</t>
        </is>
      </c>
      <c r="G8" s="23" t="inlineStr"/>
      <c r="H8" s="24" t="inlineStr"/>
      <c r="I8" s="18" t="inlineStr">
        <is>
          <t>F-DASH-01 DOR / F-ANA-01</t>
        </is>
      </c>
    </row>
    <row r="9" ht="51" customHeight="1">
      <c r="A9" s="17" t="inlineStr">
        <is>
          <t>A-07</t>
        </is>
      </c>
      <c r="B9" s="18" t="inlineStr">
        <is>
          <t>指標・計算定義</t>
        </is>
      </c>
      <c r="C9" s="19" t="inlineStr">
        <is>
          <t>客単価（人単価）</t>
        </is>
      </c>
      <c r="D9" s="20" t="inlineStr">
        <is>
          <t>計算式</t>
        </is>
      </c>
      <c r="E9" s="21" t="inlineStr">
        <is>
          <t>客単価 = 客室売上 ÷ 宿泊人数 = ADR ÷ DOR。ADRが上がっても客単価が下がっていれば「多人数利用が増えただけ」の可能性。両方を見る。</t>
        </is>
      </c>
      <c r="F9" s="22" t="inlineStr">
        <is>
          <t>—</t>
        </is>
      </c>
      <c r="G9" s="23" t="inlineStr"/>
      <c r="H9" s="24" t="inlineStr"/>
      <c r="I9" s="18" t="inlineStr">
        <is>
          <t>F-DASH-01 客単価 / F-ANA-01</t>
        </is>
      </c>
    </row>
    <row r="10" ht="51" customHeight="1">
      <c r="A10" s="17" t="inlineStr">
        <is>
          <t>A-08</t>
        </is>
      </c>
      <c r="B10" s="18" t="inlineStr">
        <is>
          <t>指標・計算定義</t>
        </is>
      </c>
      <c r="C10" s="19" t="inlineStr">
        <is>
          <t>ネットADR / ネットRevPAR</t>
        </is>
      </c>
      <c r="D10" s="20" t="inlineStr">
        <is>
          <t>計算式</t>
        </is>
      </c>
      <c r="E10" s="21" t="inlineStr">
        <is>
          <t>ネットADR = (客室売上 − チャネル手数料) ÷ 販売客室数。手数料はポイント原資・決済手数料・広告費を含む実効率で計算。チャネル別評価は必ずネットで行う。</t>
        </is>
      </c>
      <c r="F10" s="22" t="inlineStr">
        <is>
          <t>実効手数料率をチャネル別に設定</t>
        </is>
      </c>
      <c r="G10" s="23" t="inlineStr"/>
      <c r="H10" s="24" t="inlineStr"/>
      <c r="I10" s="18" t="inlineStr">
        <is>
          <t>OtaChannelData.commission</t>
        </is>
      </c>
    </row>
    <row r="11" ht="36" customHeight="1">
      <c r="A11" s="17" t="inlineStr">
        <is>
          <t>A-09</t>
        </is>
      </c>
      <c r="B11" s="18" t="inlineStr">
        <is>
          <t>指標・計算定義</t>
        </is>
      </c>
      <c r="C11" s="19" t="inlineStr">
        <is>
          <t>OTB（On The Books）</t>
        </is>
      </c>
      <c r="D11" s="25" t="inlineStr">
        <is>
          <t>定義</t>
        </is>
      </c>
      <c r="E11" s="21" t="inlineStr">
        <is>
          <t>ある宿泊日について現時点で確定している予約室数・売上。キャンセル済みは除く。すべてのペース分析・フォーキャストの起点。</t>
        </is>
      </c>
      <c r="F11" s="22" t="inlineStr">
        <is>
          <t>—</t>
        </is>
      </c>
      <c r="G11" s="23" t="inlineStr"/>
      <c r="H11" s="24" t="inlineStr"/>
      <c r="I11" s="18" t="inlineStr">
        <is>
          <t>BookingCurveData</t>
        </is>
      </c>
    </row>
    <row r="12" ht="36" customHeight="1">
      <c r="A12" s="17" t="inlineStr">
        <is>
          <t>A-10</t>
        </is>
      </c>
      <c r="B12" s="18" t="inlineStr">
        <is>
          <t>指標・計算定義</t>
        </is>
      </c>
      <c r="C12" s="19" t="inlineStr">
        <is>
          <t>ピックアップ</t>
        </is>
      </c>
      <c r="D12" s="20" t="inlineStr">
        <is>
          <t>計算式</t>
        </is>
      </c>
      <c r="E12" s="21" t="inlineStr">
        <is>
          <t>ピックアップ(n日) = 今日のOTB − n日前のOTB（同一宿泊日）。新規予約 − キャンセルのネット値。日次・週次の2本を標準とする。</t>
        </is>
      </c>
      <c r="F12" s="22" t="inlineStr">
        <is>
          <t>n = 1日, 7日</t>
        </is>
      </c>
      <c r="G12" s="23" t="inlineStr"/>
      <c r="H12" s="24" t="inlineStr"/>
      <c r="I12" s="18" t="inlineStr">
        <is>
          <t>F-DAILY-01</t>
        </is>
      </c>
    </row>
    <row r="13" ht="51" customHeight="1">
      <c r="A13" s="17" t="inlineStr">
        <is>
          <t>A-11</t>
        </is>
      </c>
      <c r="B13" s="18" t="inlineStr">
        <is>
          <t>指標・計算定義</t>
        </is>
      </c>
      <c r="C13" s="19" t="inlineStr">
        <is>
          <t>ペース</t>
        </is>
      </c>
      <c r="D13" s="20" t="inlineStr">
        <is>
          <t>計算式</t>
        </is>
      </c>
      <c r="E13" s="21" t="inlineStr">
        <is>
          <t>ペース = 今日のOTB − 前年同等日の同リードタイム時点OTB（STLY: Same Time Last Year）。絶対差と比率の両方で見る。着地実績との比較はペースではない。</t>
        </is>
      </c>
      <c r="F13" s="22" t="inlineStr">
        <is>
          <t>STLY基準 = 364日前</t>
        </is>
      </c>
      <c r="G13" s="23" t="inlineStr"/>
      <c r="H13" s="24" t="inlineStr"/>
      <c r="I13" s="18" t="inlineStr">
        <is>
          <t>F-DAILY-01 / BookingCurveData</t>
        </is>
      </c>
    </row>
    <row r="14" ht="51" customHeight="1">
      <c r="A14" s="17" t="inlineStr">
        <is>
          <t>A-12</t>
        </is>
      </c>
      <c r="B14" s="18" t="inlineStr">
        <is>
          <t>指標・計算定義</t>
        </is>
      </c>
      <c r="C14" s="19" t="inlineStr">
        <is>
          <t>リードタイム</t>
        </is>
      </c>
      <c r="D14" s="25" t="inlineStr">
        <is>
          <t>定義</t>
        </is>
      </c>
      <c r="E14" s="21" t="inlineStr">
        <is>
          <t>予約日から宿泊日までの日数。セグメント別に分布が大きく異なる（ビジネス0〜7日、国内レジャー14〜60日、インバウンド30〜120日）。カーブは必ずリードタイム軸で描く。</t>
        </is>
      </c>
      <c r="F14" s="22" t="inlineStr">
        <is>
          <t>—</t>
        </is>
      </c>
      <c r="G14" s="23" t="inlineStr"/>
      <c r="H14" s="24" t="inlineStr"/>
      <c r="I14" s="18" t="inlineStr">
        <is>
          <t>BookingCurveData.daysBefore</t>
        </is>
      </c>
    </row>
    <row r="15" ht="51" customHeight="1">
      <c r="A15" s="17" t="inlineStr">
        <is>
          <t>A-13</t>
        </is>
      </c>
      <c r="B15" s="18" t="inlineStr">
        <is>
          <t>指標・計算定義</t>
        </is>
      </c>
      <c r="C15" s="19" t="inlineStr">
        <is>
          <t>残需要（Remaining Demand）</t>
        </is>
      </c>
      <c r="D15" s="20" t="inlineStr">
        <is>
          <t>計算式</t>
        </is>
      </c>
      <c r="E15" s="21" t="inlineStr">
        <is>
          <t>残需要 = 予測最終需要 − 現在OTB。残在庫との比較で「売り切れる見込みか」を判断する。残需要 &gt; 残在庫なら値上げ余地、残需要 &lt; 残在庫なら販促余地。</t>
        </is>
      </c>
      <c r="F15" s="22" t="inlineStr">
        <is>
          <t>—</t>
        </is>
      </c>
      <c r="G15" s="23" t="inlineStr"/>
      <c r="H15" s="24" t="inlineStr"/>
      <c r="I15" s="18" t="inlineStr">
        <is>
          <t>F-DP-05</t>
        </is>
      </c>
    </row>
    <row r="16" ht="51" customHeight="1">
      <c r="A16" s="17" t="inlineStr">
        <is>
          <t>A-14</t>
        </is>
      </c>
      <c r="B16" s="18" t="inlineStr">
        <is>
          <t>指標・計算定義</t>
        </is>
      </c>
      <c r="C16" s="19" t="inlineStr">
        <is>
          <t>制約なし需要（Unconstrained Demand）</t>
        </is>
      </c>
      <c r="D16" s="25" t="inlineStr">
        <is>
          <t>定義</t>
        </is>
      </c>
      <c r="E16" s="21" t="inlineStr">
        <is>
          <t>満室・売止め・価格制約がなかった場合に実現していたはずの需要。満室日の実績＝需要ではない。断った問い合わせ、OTAでの表示回数・クリック等から推計する。</t>
        </is>
      </c>
      <c r="F16" s="22" t="inlineStr">
        <is>
          <t>満室日の需要 = 実績 × 1.1〜1.3 を初期仮定</t>
        </is>
      </c>
      <c r="G16" s="23" t="inlineStr"/>
      <c r="H16" s="24" t="inlineStr"/>
      <c r="I16" s="18" t="inlineStr">
        <is>
          <t>F-DP-05</t>
        </is>
      </c>
    </row>
    <row r="17" ht="36" customHeight="1">
      <c r="A17" s="17" t="inlineStr">
        <is>
          <t>A-15</t>
        </is>
      </c>
      <c r="B17" s="18" t="inlineStr">
        <is>
          <t>指標・計算定義</t>
        </is>
      </c>
      <c r="C17" s="19" t="inlineStr">
        <is>
          <t>ALOS（平均泊数）</t>
        </is>
      </c>
      <c r="D17" s="20" t="inlineStr">
        <is>
          <t>計算式</t>
        </is>
      </c>
      <c r="E17" s="21" t="inlineStr">
        <is>
          <t>ALOS = 延べ販売室数 ÷ 予約件数（滞在数）。連泊比率が上がると清掃コスト・チェックイン工数が下がる。泊数制限の効果測定に使う。</t>
        </is>
      </c>
      <c r="F17" s="22" t="inlineStr">
        <is>
          <t>—</t>
        </is>
      </c>
      <c r="G17" s="23" t="inlineStr"/>
      <c r="H17" s="24" t="inlineStr"/>
      <c r="I17" s="18" t="inlineStr">
        <is>
          <t>将来拡張</t>
        </is>
      </c>
    </row>
    <row r="18" ht="66" customHeight="1">
      <c r="A18" s="17" t="inlineStr">
        <is>
          <t>A-16</t>
        </is>
      </c>
      <c r="B18" s="18" t="inlineStr">
        <is>
          <t>指標・計算定義</t>
        </is>
      </c>
      <c r="C18" s="19" t="inlineStr">
        <is>
          <t>MPI / ARI / RGI</t>
        </is>
      </c>
      <c r="D18" s="20" t="inlineStr">
        <is>
          <t>計算式</t>
        </is>
      </c>
      <c r="E18" s="21" t="inlineStr">
        <is>
          <t>MPI = 自館OCC ÷ コンプセットOCC × 100、ARI = 自館ADR ÷ コンプセットADR × 100、RGI = 自館RevPAR ÷ コンプセットRevPAR × 100。100超は市場より優位。RGIはRMの総合成績。</t>
        </is>
      </c>
      <c r="F18" s="22" t="inlineStr">
        <is>
          <t>—</t>
        </is>
      </c>
      <c r="G18" s="23" t="inlineStr"/>
      <c r="H18" s="24" t="inlineStr"/>
      <c r="I18" s="18" t="inlineStr">
        <is>
          <t>F-ANA-02</t>
        </is>
      </c>
    </row>
    <row r="19" ht="51" customHeight="1">
      <c r="A19" s="17" t="inlineStr">
        <is>
          <t>A-17</t>
        </is>
      </c>
      <c r="B19" s="18" t="inlineStr">
        <is>
          <t>指標・計算定義</t>
        </is>
      </c>
      <c r="C19" s="19" t="inlineStr">
        <is>
          <t>インデックスの読み</t>
        </is>
      </c>
      <c r="D19" s="26" t="inlineStr">
        <is>
          <t>判定ルール</t>
        </is>
      </c>
      <c r="E19" s="21" t="inlineStr">
        <is>
          <t>MPI高・ARI低 → 安売りで稼働を買っている疑い。MPI低・ARI高 → 強気すぎて売り逃し疑い。両方低 → 商品・露出の構造課題。RGIで総合し、どちらの軸を直すか決める。</t>
        </is>
      </c>
      <c r="F19" s="22" t="inlineStr">
        <is>
          <t>—</t>
        </is>
      </c>
      <c r="G19" s="23" t="inlineStr"/>
      <c r="H19" s="24" t="inlineStr"/>
      <c r="I19" s="18" t="inlineStr">
        <is>
          <t>F-ANA-02</t>
        </is>
      </c>
    </row>
    <row r="20" ht="51" customHeight="1">
      <c r="A20" s="17" t="inlineStr">
        <is>
          <t>A-18</t>
        </is>
      </c>
      <c r="B20" s="18" t="inlineStr">
        <is>
          <t>指標・計算定義</t>
        </is>
      </c>
      <c r="C20" s="19" t="inlineStr">
        <is>
          <t>キャンセル率 / ノーショー率</t>
        </is>
      </c>
      <c r="D20" s="20" t="inlineStr">
        <is>
          <t>計算式</t>
        </is>
      </c>
      <c r="E20" s="21" t="inlineStr">
        <is>
          <t>キャンセル率 = キャンセル室数 ÷ 予約室数、ノーショー率 = ノーショー室数 ÷ 到着予定室数。曜日・リードタイム・チャネル・セグメント別に持つ。オーバーブッキング上限とウォッシュ率の根拠。</t>
        </is>
      </c>
      <c r="F20" s="22" t="inlineStr">
        <is>
          <t>曜日×チャネル別に集計</t>
        </is>
      </c>
      <c r="G20" s="23" t="inlineStr"/>
      <c r="H20" s="24" t="inlineStr"/>
      <c r="I20" s="18" t="inlineStr">
        <is>
          <t>将来拡張（GroupBooking）</t>
        </is>
      </c>
    </row>
    <row r="21" ht="36" customHeight="1">
      <c r="A21" s="17" t="inlineStr">
        <is>
          <t>A-19</t>
        </is>
      </c>
      <c r="B21" s="18" t="inlineStr">
        <is>
          <t>指標・計算定義</t>
        </is>
      </c>
      <c r="C21" s="19" t="inlineStr">
        <is>
          <t>ウォッシュ（Wash）</t>
        </is>
      </c>
      <c r="D21" s="25" t="inlineStr">
        <is>
          <t>定義</t>
        </is>
      </c>
      <c r="E21" s="21" t="inlineStr">
        <is>
          <t>団体・法人ブロックのうち最終的に消化されない割合。過去の同種団体の実績から推計し、ブロック室数 × (1 − ウォッシュ率) を実需とみなす。</t>
        </is>
      </c>
      <c r="F21" s="22" t="inlineStr">
        <is>
          <t>初期仮定 20〜30%</t>
        </is>
      </c>
      <c r="G21" s="23" t="inlineStr"/>
      <c r="H21" s="24" t="inlineStr"/>
      <c r="I21" s="18" t="inlineStr">
        <is>
          <t>F-SET-05 / GroupBooking</t>
        </is>
      </c>
    </row>
    <row r="22" ht="51" customHeight="1">
      <c r="A22" s="17" t="inlineStr">
        <is>
          <t>A-20</t>
        </is>
      </c>
      <c r="B22" s="18" t="inlineStr">
        <is>
          <t>指標・計算定義</t>
        </is>
      </c>
      <c r="C22" s="19" t="inlineStr">
        <is>
          <t>予算達成率の3軸</t>
        </is>
      </c>
      <c r="D22" s="20" t="inlineStr">
        <is>
          <t>計算式</t>
        </is>
      </c>
      <c r="E22" s="21" t="inlineStr">
        <is>
          <t>本日まで（当月1日〜昨日の実績 ÷ 同期間予算）、累計進捗（実績＋OTB ÷ 月予算）、年度累計（4月起点）。同じ軸で売上・ADR・OCCを揃えて表示し、軸違いの比較をしない。</t>
        </is>
      </c>
      <c r="F22" s="22" t="inlineStr">
        <is>
          <t>年度 = 4月始まり</t>
        </is>
      </c>
      <c r="G22" s="23" t="inlineStr"/>
      <c r="H22" s="24" t="inlineStr"/>
      <c r="I22" s="18" t="inlineStr">
        <is>
          <t>F-DASH-02</t>
        </is>
      </c>
    </row>
    <row r="23" ht="51" customHeight="1">
      <c r="A23" s="17" t="inlineStr">
        <is>
          <t>A-21</t>
        </is>
      </c>
      <c r="B23" s="18" t="inlineStr">
        <is>
          <t>指標・計算定義</t>
        </is>
      </c>
      <c r="C23" s="19" t="inlineStr">
        <is>
          <t>前年比の基準日</t>
        </is>
      </c>
      <c r="D23" s="26" t="inlineStr">
        <is>
          <t>判定ルール</t>
        </is>
      </c>
      <c r="E23" s="21" t="inlineStr">
        <is>
          <t>前年比は「前年同日付」ではなく「前年同曜日（364日前）」を基準にする。月次合計は暦日ベースでよいが、日別・曜日別比較で日付基準を使うと平日/週末が入れ替わり誤読する。</t>
        </is>
      </c>
      <c r="F23" s="22" t="inlineStr">
        <is>
          <t>日別=364日シフト、月次=暦日</t>
        </is>
      </c>
      <c r="G23" s="23" t="inlineStr"/>
      <c r="H23" s="24" t="inlineStr"/>
      <c r="I23" s="18" t="inlineStr">
        <is>
          <t>F-DASH-02 / F-DASH-03</t>
        </is>
      </c>
    </row>
    <row r="24" ht="51" customHeight="1">
      <c r="A24" s="17" t="inlineStr">
        <is>
          <t>A-22</t>
        </is>
      </c>
      <c r="B24" s="18" t="inlineStr">
        <is>
          <t>指標・計算定義</t>
        </is>
      </c>
      <c r="C24" s="19" t="inlineStr">
        <is>
          <t>週末定義</t>
        </is>
      </c>
      <c r="D24" s="25" t="inlineStr">
        <is>
          <t>定義</t>
        </is>
      </c>
      <c r="E24" s="21" t="inlineStr">
        <is>
          <t>週末 = チェックイン日が金・土。日曜泊は平日側として扱う（日曜は需要が急落するため）。この定義はホテル設定に従い、分析・予測・説明の全てで同一定義を使う。</t>
        </is>
      </c>
      <c r="F24" s="22" t="inlineStr">
        <is>
          <t>デフォルト [金, 土]</t>
        </is>
      </c>
      <c r="G24" s="23" t="inlineStr"/>
      <c r="H24" s="24" t="inlineStr"/>
      <c r="I24" s="18" t="inlineStr">
        <is>
          <t>Hotel.weekendDays / F-DAILY-02</t>
        </is>
      </c>
    </row>
    <row r="25" ht="22" customHeight="1">
      <c r="A25" s="16" t="inlineStr">
        <is>
          <t>B　データ品質・前処理　　（関連: DailyData / BookingCurveData / OtaChannelData）</t>
        </is>
      </c>
    </row>
    <row r="26" ht="51" customHeight="1">
      <c r="A26" s="17" t="inlineStr">
        <is>
          <t>B-01</t>
        </is>
      </c>
      <c r="B26" s="18" t="inlineStr">
        <is>
          <t>データ品質・前処理</t>
        </is>
      </c>
      <c r="C26" s="19" t="inlineStr">
        <is>
          <t>日付の基準</t>
        </is>
      </c>
      <c r="D26" s="25" t="inlineStr">
        <is>
          <t>定義</t>
        </is>
      </c>
      <c r="E26" s="21" t="inlineStr">
        <is>
          <t>全ての日別データはチェックイン日（宿泊日）基準。予約受付日と混同しない。タイムゾーンはホテル所在地で固定し、UTC変換で日付がずれないことを確認する。</t>
        </is>
      </c>
      <c r="F26" s="22" t="inlineStr">
        <is>
          <t>JST固定</t>
        </is>
      </c>
      <c r="G26" s="23" t="inlineStr"/>
      <c r="H26" s="24" t="inlineStr"/>
      <c r="I26" s="18" t="inlineStr">
        <is>
          <t>DailyData.date / BookingCurveData</t>
        </is>
      </c>
    </row>
    <row r="27" ht="36" customHeight="1">
      <c r="A27" s="17" t="inlineStr">
        <is>
          <t>B-02</t>
        </is>
      </c>
      <c r="B27" s="18" t="inlineStr">
        <is>
          <t>データ品質・前処理</t>
        </is>
      </c>
      <c r="C27" s="19" t="inlineStr">
        <is>
          <t>OOO・売止めの記録</t>
        </is>
      </c>
      <c r="D27" s="27" t="inlineStr">
        <is>
          <t>注意</t>
        </is>
      </c>
      <c r="E27" s="21" t="inlineStr">
        <is>
          <t>改装・故障で販売不能だった客室数は日別に記録し、販売可能客室数から除く。除かないと稼働率が過小になり、その日の需要を弱く誤学習する。</t>
        </is>
      </c>
      <c r="F27" s="22" t="inlineStr">
        <is>
          <t>—</t>
        </is>
      </c>
      <c r="G27" s="23" t="inlineStr"/>
      <c r="H27" s="24" t="inlineStr"/>
      <c r="I27" s="18" t="inlineStr">
        <is>
          <t>DailyData（拡張）</t>
        </is>
      </c>
    </row>
    <row r="28" ht="36" customHeight="1">
      <c r="A28" s="17" t="inlineStr">
        <is>
          <t>B-03</t>
        </is>
      </c>
      <c r="B28" s="18" t="inlineStr">
        <is>
          <t>データ品質・前処理</t>
        </is>
      </c>
      <c r="C28" s="19" t="inlineStr">
        <is>
          <t>欠損値の扱い</t>
        </is>
      </c>
      <c r="D28" s="26" t="inlineStr">
        <is>
          <t>判定ルール</t>
        </is>
      </c>
      <c r="E28" s="21" t="inlineStr">
        <is>
          <t>実績欠損日は「0」ではなく null として扱い、移動平均・前年比較の分母から除外する。0で埋めると予測が系統的に下振れする。</t>
        </is>
      </c>
      <c r="F28" s="22" t="inlineStr">
        <is>
          <t>null除外</t>
        </is>
      </c>
      <c r="G28" s="23" t="inlineStr"/>
      <c r="H28" s="24" t="inlineStr"/>
      <c r="I28" s="18" t="inlineStr">
        <is>
          <t>ruleBasedForecaster（occupancy not null）</t>
        </is>
      </c>
    </row>
    <row r="29" ht="51" customHeight="1">
      <c r="A29" s="17" t="inlineStr">
        <is>
          <t>B-04</t>
        </is>
      </c>
      <c r="B29" s="18" t="inlineStr">
        <is>
          <t>データ品質・前処理</t>
        </is>
      </c>
      <c r="C29" s="19" t="inlineStr">
        <is>
          <t>外れ値の検知</t>
        </is>
      </c>
      <c r="D29" s="26" t="inlineStr">
        <is>
          <t>判定ルール</t>
        </is>
      </c>
      <c r="E29" s="21" t="inlineStr">
        <is>
          <t>同曜日の過去8週平均から ±3σ を超える稼働・ADRは外れ値候補としてフラグを立て、原因（イベント・団体・データ誤り）を確認してから学習に使う。イベント起因なら除外せずイベントとして登録する。</t>
        </is>
      </c>
      <c r="F29" s="22" t="inlineStr">
        <is>
          <t>±3σ、8週</t>
        </is>
      </c>
      <c r="G29" s="23" t="inlineStr"/>
      <c r="H29" s="24" t="inlineStr"/>
      <c r="I29" s="18" t="inlineStr">
        <is>
          <t>DailyData / Event</t>
        </is>
      </c>
    </row>
    <row r="30" ht="36" customHeight="1">
      <c r="A30" s="17" t="inlineStr">
        <is>
          <t>B-05</t>
        </is>
      </c>
      <c r="B30" s="18" t="inlineStr">
        <is>
          <t>データ品質・前処理</t>
        </is>
      </c>
      <c r="C30" s="19" t="inlineStr">
        <is>
          <t>キャンセルの反映</t>
        </is>
      </c>
      <c r="D30" s="27" t="inlineStr">
        <is>
          <t>注意</t>
        </is>
      </c>
      <c r="E30" s="21" t="inlineStr">
        <is>
          <t>OTBスナップショットはキャンセル反映後のネット値で保存する。グロス（予約のみ）で保存するとピックアップが過大になり、直前の在庫戻りを見逃す。</t>
        </is>
      </c>
      <c r="F30" s="22" t="inlineStr">
        <is>
          <t>ネット保存</t>
        </is>
      </c>
      <c r="G30" s="23" t="inlineStr"/>
      <c r="H30" s="24" t="inlineStr"/>
      <c r="I30" s="18" t="inlineStr">
        <is>
          <t>BookingCurveData</t>
        </is>
      </c>
    </row>
    <row r="31" ht="51" customHeight="1">
      <c r="A31" s="17" t="inlineStr">
        <is>
          <t>B-06</t>
        </is>
      </c>
      <c r="B31" s="18" t="inlineStr">
        <is>
          <t>データ品質・前処理</t>
        </is>
      </c>
      <c r="C31" s="19" t="inlineStr">
        <is>
          <t>団体ブロックの分離</t>
        </is>
      </c>
      <c r="D31" s="26" t="inlineStr">
        <is>
          <t>判定ルール</t>
        </is>
      </c>
      <c r="E31" s="21" t="inlineStr">
        <is>
          <t>団体・法人ブロック（未確定枚数）は個人OTBと分けて保存し、カーブには「確定分のみ」と「ブロック込み」の2本を描けるようにする。ブロック込みで需要を読むとウォッシュ分だけ過大になる。</t>
        </is>
      </c>
      <c r="F31" s="22" t="inlineStr">
        <is>
          <t>確定/ブロックを別列</t>
        </is>
      </c>
      <c r="G31" s="23" t="inlineStr"/>
      <c r="H31" s="24" t="inlineStr"/>
      <c r="I31" s="18" t="inlineStr">
        <is>
          <t>GroupBooking / BookingCurveData</t>
        </is>
      </c>
    </row>
    <row r="32" ht="36" customHeight="1">
      <c r="A32" s="17" t="inlineStr">
        <is>
          <t>B-07</t>
        </is>
      </c>
      <c r="B32" s="18" t="inlineStr">
        <is>
          <t>データ品質・前処理</t>
        </is>
      </c>
      <c r="C32" s="19" t="inlineStr">
        <is>
          <t>スナップショット頻度</t>
        </is>
      </c>
      <c r="D32" s="26" t="inlineStr">
        <is>
          <t>判定ルール</t>
        </is>
      </c>
      <c r="E32" s="21" t="inlineStr">
        <is>
          <t>OTBスナップショットは最低1日1回（同時刻）。繁忙日・イベント日の直前7日は複数回（朝・夕）取ると当日の動きが見える。</t>
        </is>
      </c>
      <c r="F32" s="22" t="inlineStr">
        <is>
          <t>日次固定時刻、直前7日は朝夕</t>
        </is>
      </c>
      <c r="G32" s="23" t="inlineStr"/>
      <c r="H32" s="24" t="inlineStr"/>
      <c r="I32" s="18" t="inlineStr">
        <is>
          <t>BookingCurveData</t>
        </is>
      </c>
    </row>
    <row r="33" ht="51" customHeight="1">
      <c r="A33" s="17" t="inlineStr">
        <is>
          <t>B-08</t>
        </is>
      </c>
      <c r="B33" s="18" t="inlineStr">
        <is>
          <t>データ品質・前処理</t>
        </is>
      </c>
      <c r="C33" s="19" t="inlineStr">
        <is>
          <t>価格データの条件揃え</t>
        </is>
      </c>
      <c r="D33" s="27" t="inlineStr">
        <is>
          <t>注意</t>
        </is>
      </c>
      <c r="E33" s="21" t="inlineStr">
        <is>
          <t>競合価格は「部屋タイプ階級・利用人数・食事条件・キャンセル可否」を揃えて記録する。最安値だけを拾うと条件が毎日変わり比較不能になる。</t>
        </is>
      </c>
      <c r="F33" s="22" t="inlineStr">
        <is>
          <t>スタンダード・2名・食事なし・キャンセル可を標準条件</t>
        </is>
      </c>
      <c r="G33" s="23" t="inlineStr"/>
      <c r="H33" s="24" t="inlineStr"/>
      <c r="I33" s="18" t="inlineStr">
        <is>
          <t>CompetitorPriceData.price1P/2P/3P</t>
        </is>
      </c>
    </row>
    <row r="34" ht="36" customHeight="1">
      <c r="A34" s="17" t="inlineStr">
        <is>
          <t>B-09</t>
        </is>
      </c>
      <c r="B34" s="18" t="inlineStr">
        <is>
          <t>データ品質・前処理</t>
        </is>
      </c>
      <c r="C34" s="19" t="inlineStr">
        <is>
          <t>価格スクレイピングの時刻</t>
        </is>
      </c>
      <c r="D34" s="27" t="inlineStr">
        <is>
          <t>注意</t>
        </is>
      </c>
      <c r="E34" s="21" t="inlineStr">
        <is>
          <t>競合価格の取得は毎日同時刻に行い、取得時刻を保存する。競合も日中に価格を動かすため、時刻がばらつくと「動き」が読めない。</t>
        </is>
      </c>
      <c r="F34" s="22" t="inlineStr">
        <is>
          <t>毎日同時刻 + 取得タイムスタンプ</t>
        </is>
      </c>
      <c r="G34" s="23" t="inlineStr"/>
      <c r="H34" s="24" t="inlineStr"/>
      <c r="I34" s="18" t="inlineStr">
        <is>
          <t>CompetitorPriceData / F-SET-03</t>
        </is>
      </c>
    </row>
    <row r="35" ht="36" customHeight="1">
      <c r="A35" s="17" t="inlineStr">
        <is>
          <t>B-10</t>
        </is>
      </c>
      <c r="B35" s="18" t="inlineStr">
        <is>
          <t>データ品質・前処理</t>
        </is>
      </c>
      <c r="C35" s="19" t="inlineStr">
        <is>
          <t>在庫切れの区別</t>
        </is>
      </c>
      <c r="D35" s="26" t="inlineStr">
        <is>
          <t>判定ルール</t>
        </is>
      </c>
      <c r="E35" s="21" t="inlineStr">
        <is>
          <t>競合の価格が取得できない日は「売止め（満室）」と「取得失敗」を区別して記録する。売止めは強い需要シグナルであり、欠損と混ぜると失われる。</t>
        </is>
      </c>
      <c r="F35" s="22" t="inlineStr">
        <is>
          <t>status: soldout / error</t>
        </is>
      </c>
      <c r="G35" s="23" t="inlineStr"/>
      <c r="H35" s="24" t="inlineStr"/>
      <c r="I35" s="18" t="inlineStr">
        <is>
          <t>CompetitorPriceData</t>
        </is>
      </c>
    </row>
    <row r="36" ht="36" customHeight="1">
      <c r="A36" s="17" t="inlineStr">
        <is>
          <t>B-11</t>
        </is>
      </c>
      <c r="B36" s="18" t="inlineStr">
        <is>
          <t>データ品質・前処理</t>
        </is>
      </c>
      <c r="C36" s="19" t="inlineStr">
        <is>
          <t>祝日・連休マスタ</t>
        </is>
      </c>
      <c r="D36" s="27" t="inlineStr">
        <is>
          <t>注意</t>
        </is>
      </c>
      <c r="E36" s="21" t="inlineStr">
        <is>
          <t>日本の祝日・振替休日・連休の並び（3連休か、飛び石か）をマスタとして持ち、毎年更新する。前年比較の暦補正とイベント補正の基礎。</t>
        </is>
      </c>
      <c r="F36" s="22" t="inlineStr">
        <is>
          <t>内閣府祝日データ + 自館の独自休日</t>
        </is>
      </c>
      <c r="G36" s="23" t="inlineStr"/>
      <c r="H36" s="24" t="inlineStr"/>
      <c r="I36" s="18" t="inlineStr">
        <is>
          <t>DailyData.isHoliday / holidayName</t>
        </is>
      </c>
    </row>
    <row r="37" ht="51" customHeight="1">
      <c r="A37" s="17" t="inlineStr">
        <is>
          <t>B-12</t>
        </is>
      </c>
      <c r="B37" s="18" t="inlineStr">
        <is>
          <t>データ品質・前処理</t>
        </is>
      </c>
      <c r="C37" s="19" t="inlineStr">
        <is>
          <t>学習期間の下限</t>
        </is>
      </c>
      <c r="D37" s="26" t="inlineStr">
        <is>
          <t>判定ルール</t>
        </is>
      </c>
      <c r="E37" s="21" t="inlineStr">
        <is>
          <t>同曜日移動平均は最低4週、前年比較は最低1年分の実績があるときのみ使う。不足時は代替（全曜日平均、市場平均、手入力ベースライン）にフォールバックし、確信度を下げる。</t>
        </is>
      </c>
      <c r="F37" s="22" t="inlineStr">
        <is>
          <t>移動平均 ≥4週、前年 ≥1年</t>
        </is>
      </c>
      <c r="G37" s="23" t="inlineStr"/>
      <c r="H37" s="24" t="inlineStr"/>
      <c r="I37" s="18" t="inlineStr">
        <is>
          <t>ruleBasedForecaster.computeConfidence</t>
        </is>
      </c>
    </row>
    <row r="38" ht="36" customHeight="1">
      <c r="A38" s="17" t="inlineStr">
        <is>
          <t>B-13</t>
        </is>
      </c>
      <c r="B38" s="18" t="inlineStr">
        <is>
          <t>データ品質・前処理</t>
        </is>
      </c>
      <c r="C38" s="19" t="inlineStr">
        <is>
          <t>断絶期間の除外</t>
        </is>
      </c>
      <c r="D38" s="26" t="inlineStr">
        <is>
          <t>判定ルール</t>
        </is>
      </c>
      <c r="E38" s="21" t="inlineStr">
        <is>
          <t>休館・大規模改装・パンデミック等の異常期間は学習対象から除外できるフラグを持つ。除外せずに前年比較すると回復期の需要を過小に読む。</t>
        </is>
      </c>
      <c r="F38" s="22" t="inlineStr">
        <is>
          <t>excludeFromLearning フラグ</t>
        </is>
      </c>
      <c r="G38" s="23" t="inlineStr"/>
      <c r="H38" s="24" t="inlineStr"/>
      <c r="I38" s="18" t="inlineStr">
        <is>
          <t>DailyData（拡張）</t>
        </is>
      </c>
    </row>
    <row r="39" ht="36" customHeight="1">
      <c r="A39" s="17" t="inlineStr">
        <is>
          <t>B-14</t>
        </is>
      </c>
      <c r="B39" s="18" t="inlineStr">
        <is>
          <t>データ品質・前処理</t>
        </is>
      </c>
      <c r="C39" s="19" t="inlineStr">
        <is>
          <t>単位・通貨の統一</t>
        </is>
      </c>
      <c r="D39" s="27" t="inlineStr">
        <is>
          <t>注意</t>
        </is>
      </c>
      <c r="E39" s="21" t="inlineStr">
        <is>
          <t>金額は税抜・円・1室あたりで統一する。人数課金ホテルでは「1室料金」と「1人料金」を明示し、混在させない。</t>
        </is>
      </c>
      <c r="F39" s="22" t="inlineStr">
        <is>
          <t>税抜円・1室</t>
        </is>
      </c>
      <c r="G39" s="23" t="inlineStr"/>
      <c r="H39" s="24" t="inlineStr"/>
      <c r="I39" s="18" t="inlineStr">
        <is>
          <t>PriceRank.price1P〜4P</t>
        </is>
      </c>
    </row>
    <row r="40" ht="22" customHeight="1">
      <c r="A40" s="16" t="inlineStr">
        <is>
          <t>C　需要予測　　（関連: F-DP-05 / AiPriceRecommendation / ruleBasedForecaster）</t>
        </is>
      </c>
    </row>
    <row r="41" ht="51" customHeight="1">
      <c r="A41" s="17" t="inlineStr">
        <is>
          <t>C-01</t>
        </is>
      </c>
      <c r="B41" s="18" t="inlineStr">
        <is>
          <t>需要予測</t>
        </is>
      </c>
      <c r="C41" s="19" t="inlineStr">
        <is>
          <t>予測の構造</t>
        </is>
      </c>
      <c r="D41" s="25" t="inlineStr">
        <is>
          <t>定義</t>
        </is>
      </c>
      <c r="E41" s="21" t="inlineStr">
        <is>
          <t>予測稼働 = ベースライン（同曜日移動平均と前年同曜日の加重） ＋ イベント補正 ＋ 曜日・祝日補正 ＋ ペース補正、を0〜100%にクリップ。各項を分けて保存し説明可能にする。</t>
        </is>
      </c>
      <c r="F41" s="22" t="inlineStr">
        <is>
          <t>—</t>
        </is>
      </c>
      <c r="G41" s="23" t="inlineStr"/>
      <c r="H41" s="24" t="inlineStr"/>
      <c r="I41" s="18" t="inlineStr">
        <is>
          <t>F-DP-05 / computePredictedOccupancy</t>
        </is>
      </c>
    </row>
    <row r="42" ht="36" customHeight="1">
      <c r="A42" s="17" t="inlineStr">
        <is>
          <t>C-02</t>
        </is>
      </c>
      <c r="B42" s="18" t="inlineStr">
        <is>
          <t>需要予測</t>
        </is>
      </c>
      <c r="C42" s="19" t="inlineStr">
        <is>
          <t>同曜日移動平均</t>
        </is>
      </c>
      <c r="D42" s="20" t="inlineStr">
        <is>
          <t>計算式</t>
        </is>
      </c>
      <c r="E42" s="21" t="inlineStr">
        <is>
          <t>直近N週の同曜日稼働の平均（外れ値・イベント日除外後）。直近ほど重みを大きくする指数加重が望ましい。</t>
        </is>
      </c>
      <c r="F42" s="22" t="inlineStr">
        <is>
          <t>N = 4〜8週、直近週の重み ≈ 0.4</t>
        </is>
      </c>
      <c r="G42" s="23" t="inlineStr"/>
      <c r="H42" s="24" t="inlineStr"/>
      <c r="I42" s="18" t="inlineStr">
        <is>
          <t>computeMovingAverageBySameWeekday（現状28日単純平均）</t>
        </is>
      </c>
    </row>
    <row r="43" ht="36" customHeight="1">
      <c r="A43" s="17" t="inlineStr">
        <is>
          <t>C-03</t>
        </is>
      </c>
      <c r="B43" s="18" t="inlineStr">
        <is>
          <t>需要予測</t>
        </is>
      </c>
      <c r="C43" s="19" t="inlineStr">
        <is>
          <t>前年同曜日（STLY）</t>
        </is>
      </c>
      <c r="D43" s="20" t="inlineStr">
        <is>
          <t>計算式</t>
        </is>
      </c>
      <c r="E43" s="21" t="inlineStr">
        <is>
          <t>364日前（52週前）の同曜日実績を基準とし、祝日・連休は暦の位置で個別に対応付ける。365日前の同日付は曜日が1つずれるため使わない。</t>
        </is>
      </c>
      <c r="F43" s="22" t="inlineStr">
        <is>
          <t>364日シフト＋祝日マッピング</t>
        </is>
      </c>
      <c r="G43" s="23" t="inlineStr"/>
      <c r="H43" s="24" t="inlineStr"/>
      <c r="I43" s="18" t="inlineStr">
        <is>
          <t>computeYearOverYearOccupancy（現状365日±3日最近接）</t>
        </is>
      </c>
    </row>
    <row r="44" ht="51" customHeight="1">
      <c r="A44" s="17" t="inlineStr">
        <is>
          <t>C-04</t>
        </is>
      </c>
      <c r="B44" s="18" t="inlineStr">
        <is>
          <t>需要予測</t>
        </is>
      </c>
      <c r="C44" s="19" t="inlineStr">
        <is>
          <t>ベースラインの加重</t>
        </is>
      </c>
      <c r="D44" s="20" t="inlineStr">
        <is>
          <t>計算式</t>
        </is>
      </c>
      <c r="E44" s="21" t="inlineStr">
        <is>
          <t>移動平均と前年の加重は、前年データの信頼度で変える。前年が平常期なら 移動平均0.6 : 前年0.4、前年が異常期（断絶・改装）なら移動平均のみ。直近トレンドが強い（前月比±10%超）ときは移動平均の重みを上げる。</t>
        </is>
      </c>
      <c r="F44" s="22" t="inlineStr">
        <is>
          <t>0.6:0.4 を初期値、トレンド強時 0.8:0.2</t>
        </is>
      </c>
      <c r="G44" s="23" t="inlineStr"/>
      <c r="H44" s="24" t="inlineStr"/>
      <c r="I44" s="18" t="inlineStr">
        <is>
          <t>computePredictedOccupancy（現状0.7:0.3）</t>
        </is>
      </c>
    </row>
    <row r="45" ht="36" customHeight="1">
      <c r="A45" s="17" t="inlineStr">
        <is>
          <t>C-05</t>
        </is>
      </c>
      <c r="B45" s="18" t="inlineStr">
        <is>
          <t>需要予測</t>
        </is>
      </c>
      <c r="C45" s="19" t="inlineStr">
        <is>
          <t>前年トレンド補正</t>
        </is>
      </c>
      <c r="D45" s="20" t="inlineStr">
        <is>
          <t>計算式</t>
        </is>
      </c>
      <c r="E45" s="21" t="inlineStr">
        <is>
          <t>前年同曜日実績に「直近3か月の前年比（同曜日ベース）」を掛けて今年水準に補正する。市場が前年比+10%で推移していれば前年値も+10%して使う。</t>
        </is>
      </c>
      <c r="F45" s="22" t="inlineStr">
        <is>
          <t>直近90日の前年比を乗算</t>
        </is>
      </c>
      <c r="G45" s="23" t="inlineStr"/>
      <c r="H45" s="24" t="inlineStr"/>
      <c r="I45" s="18" t="inlineStr">
        <is>
          <t>F-DP-05</t>
        </is>
      </c>
    </row>
    <row r="46" ht="66" customHeight="1">
      <c r="A46" s="17" t="inlineStr">
        <is>
          <t>C-06</t>
        </is>
      </c>
      <c r="B46" s="18" t="inlineStr">
        <is>
          <t>需要予測</t>
        </is>
      </c>
      <c r="C46" s="19" t="inlineStr">
        <is>
          <t>イベント補正の加算</t>
        </is>
      </c>
      <c r="D46" s="20" t="inlineStr">
        <is>
          <t>計算式</t>
        </is>
      </c>
      <c r="E46" s="21" t="inlineStr">
        <is>
          <t>イベント影響は稼働ポイントの加算（pt）で表現し、影響度クラス別の初期値を持ち、過去の同イベント実績があればそれで上書きする。複数イベント重複は単純合算せず最大値 + 副次分の半分とする。</t>
        </is>
      </c>
      <c r="F46" s="22" t="inlineStr">
        <is>
          <t>高 +15pt / 中 +8pt / 低 +3pt、重複 = max + 0.5×others</t>
        </is>
      </c>
      <c r="G46" s="23" t="inlineStr"/>
      <c r="H46" s="24" t="inlineStr"/>
      <c r="I46" s="18" t="inlineStr">
        <is>
          <t>computeEventImpact（現状単純合算）</t>
        </is>
      </c>
    </row>
    <row r="47" ht="51" customHeight="1">
      <c r="A47" s="17" t="inlineStr">
        <is>
          <t>C-07</t>
        </is>
      </c>
      <c r="B47" s="18" t="inlineStr">
        <is>
          <t>需要予測</t>
        </is>
      </c>
      <c r="C47" s="19" t="inlineStr">
        <is>
          <t>イベントの前後泊波及</t>
        </is>
      </c>
      <c r="D47" s="20" t="inlineStr">
        <is>
          <t>計算式</t>
        </is>
      </c>
      <c r="E47" s="21" t="inlineStr">
        <is>
          <t>大規模イベントは前日に主影響の50%、翌日に30%の波及を初期値として加算する。ライブ・スポーツは前日型、学会・展示会は会期中フラット型、と種別ごとに形を持つ。</t>
        </is>
      </c>
      <c r="F47" s="22" t="inlineStr">
        <is>
          <t>前日0.5、翌日0.3（種別で調整）</t>
        </is>
      </c>
      <c r="G47" s="23" t="inlineStr"/>
      <c r="H47" s="24" t="inlineStr"/>
      <c r="I47" s="18" t="inlineStr">
        <is>
          <t>Event.type / expectedImpact</t>
        </is>
      </c>
    </row>
    <row r="48" ht="51" customHeight="1">
      <c r="A48" s="17" t="inlineStr">
        <is>
          <t>C-08</t>
        </is>
      </c>
      <c r="B48" s="18" t="inlineStr">
        <is>
          <t>需要予測</t>
        </is>
      </c>
      <c r="C48" s="19" t="inlineStr">
        <is>
          <t>週末補正</t>
        </is>
      </c>
      <c r="D48" s="20" t="inlineStr">
        <is>
          <t>計算式</t>
        </is>
      </c>
      <c r="E48" s="21" t="inlineStr">
        <is>
          <t>同曜日移動平均を使う場合、週末らしさは既に含まれるため週末補正は小さく（+3〜5pt）。全曜日平均を使う場合のみ大きな補正（+10〜15pt）を入れる。二重計上しない。</t>
        </is>
      </c>
      <c r="F48" s="22" t="inlineStr">
        <is>
          <t>同曜日平均時 +5pt</t>
        </is>
      </c>
      <c r="G48" s="23" t="inlineStr"/>
      <c r="H48" s="24" t="inlineStr"/>
      <c r="I48" s="18" t="inlineStr">
        <is>
          <t>computeWeekendAdjustment（+5pt）/ Hotel.weekendDays</t>
        </is>
      </c>
    </row>
    <row r="49" ht="51" customHeight="1">
      <c r="A49" s="17" t="inlineStr">
        <is>
          <t>C-09</t>
        </is>
      </c>
      <c r="B49" s="18" t="inlineStr">
        <is>
          <t>需要予測</t>
        </is>
      </c>
      <c r="C49" s="19" t="inlineStr">
        <is>
          <t>祝日・連休の補正</t>
        </is>
      </c>
      <c r="D49" s="20" t="inlineStr">
        <is>
          <t>計算式</t>
        </is>
      </c>
      <c r="E49" s="21" t="inlineStr">
        <is>
          <t>祝前日は週末扱い、連休中日は「金土相当」、連休最終日は「日曜相当」で補正する。3連休の中日は最も強く、飛び石連休は弱い。GWは中日（平日）の谷を個別に補正する。</t>
        </is>
      </c>
      <c r="F49" s="22" t="inlineStr">
        <is>
          <t>祝前日 = 土曜相当</t>
        </is>
      </c>
      <c r="G49" s="23" t="inlineStr"/>
      <c r="H49" s="24" t="inlineStr"/>
      <c r="I49" s="18" t="inlineStr">
        <is>
          <t>DailyData.isHoliday</t>
        </is>
      </c>
    </row>
    <row r="50" ht="51" customHeight="1">
      <c r="A50" s="17" t="inlineStr">
        <is>
          <t>C-10</t>
        </is>
      </c>
      <c r="B50" s="18" t="inlineStr">
        <is>
          <t>需要予測</t>
        </is>
      </c>
      <c r="C50" s="19" t="inlineStr">
        <is>
          <t>ペース補正</t>
        </is>
      </c>
      <c r="D50" s="20" t="inlineStr">
        <is>
          <t>計算式</t>
        </is>
      </c>
      <c r="E50" s="21" t="inlineStr">
        <is>
          <t>現在OTBが同リードタイム時点のSTLYより X% 速ければ、ベースラインに X% の一部（係数k）を加える。リードタイムが短いほど k を大きく（直前のOTBは着地に近い）。</t>
        </is>
      </c>
      <c r="F50" s="22" t="inlineStr">
        <is>
          <t>k = 0.3（60日前）→ 0.8（7日前）</t>
        </is>
      </c>
      <c r="G50" s="23" t="inlineStr"/>
      <c r="H50" s="24" t="inlineStr"/>
      <c r="I50" s="18" t="inlineStr">
        <is>
          <t>F-DAILY-01 → F-DP-05</t>
        </is>
      </c>
    </row>
    <row r="51" ht="51" customHeight="1">
      <c r="A51" s="17" t="inlineStr">
        <is>
          <t>C-11</t>
        </is>
      </c>
      <c r="B51" s="18" t="inlineStr">
        <is>
          <t>需要予測</t>
        </is>
      </c>
      <c r="C51" s="19" t="inlineStr">
        <is>
          <t>残ピックアップ推定</t>
        </is>
      </c>
      <c r="D51" s="20" t="inlineStr">
        <is>
          <t>計算式</t>
        </is>
      </c>
      <c r="E51" s="21" t="inlineStr">
        <is>
          <t>着地予測 = 現在OTB ＋ 残ピックアップ。残ピックアップ = 過去同等日の「同リードタイムからの平均伸び率」× 現在OTB、または平均伸び室数。伸び率方式はOTBが少ない遠い日で暴れるため、遠い日は室数方式を優先。</t>
        </is>
      </c>
      <c r="F51" s="22" t="inlineStr">
        <is>
          <t>60日超は室数方式、以内は比率方式</t>
        </is>
      </c>
      <c r="G51" s="23" t="inlineStr"/>
      <c r="H51" s="24" t="inlineStr"/>
      <c r="I51" s="18" t="inlineStr">
        <is>
          <t>F-DP-04 / F-DP-05</t>
        </is>
      </c>
    </row>
    <row r="52" ht="51" customHeight="1">
      <c r="A52" s="17" t="inlineStr">
        <is>
          <t>C-12</t>
        </is>
      </c>
      <c r="B52" s="18" t="inlineStr">
        <is>
          <t>需要予測</t>
        </is>
      </c>
      <c r="C52" s="19" t="inlineStr">
        <is>
          <t>リードタイム別の予測手法</t>
        </is>
      </c>
      <c r="D52" s="26" t="inlineStr">
        <is>
          <t>判定ルール</t>
        </is>
      </c>
      <c r="E52" s="21" t="inlineStr">
        <is>
          <t>90日超: ベースライン主体（OTBは参考）。30〜90日: ベースライン＋ペース補正。7〜30日: OTB＋残ピックアップ主体。7日以内: OTB＋直前ピックアップ＋キャンセル見込み。</t>
        </is>
      </c>
      <c r="F52" s="22" t="inlineStr">
        <is>
          <t>—</t>
        </is>
      </c>
      <c r="G52" s="23" t="inlineStr"/>
      <c r="H52" s="24" t="inlineStr"/>
      <c r="I52" s="18" t="inlineStr">
        <is>
          <t>F-DP-05</t>
        </is>
      </c>
    </row>
    <row r="53" ht="51" customHeight="1">
      <c r="A53" s="17" t="inlineStr">
        <is>
          <t>C-13</t>
        </is>
      </c>
      <c r="B53" s="18" t="inlineStr">
        <is>
          <t>需要予測</t>
        </is>
      </c>
      <c r="C53" s="19" t="inlineStr">
        <is>
          <t>キャンセル見込みの控除</t>
        </is>
      </c>
      <c r="D53" s="20" t="inlineStr">
        <is>
          <t>計算式</t>
        </is>
      </c>
      <c r="E53" s="21" t="inlineStr">
        <is>
          <t>着地予測 = (OTB × (1 − 残キャンセル率)) ＋ 残ピックアップ。残キャンセル率はリードタイム・チャネル別実績から。キャンセル期限（宿泊前日等）を跨ぐ日は期限後の戻りを見込む。</t>
        </is>
      </c>
      <c r="F53" s="22" t="inlineStr">
        <is>
          <t>直前7日のキャンセル率を実績から</t>
        </is>
      </c>
      <c r="G53" s="23" t="inlineStr"/>
      <c r="H53" s="24" t="inlineStr"/>
      <c r="I53" s="18" t="inlineStr">
        <is>
          <t>将来拡張</t>
        </is>
      </c>
    </row>
    <row r="54" ht="51" customHeight="1">
      <c r="A54" s="17" t="inlineStr">
        <is>
          <t>C-14</t>
        </is>
      </c>
      <c r="B54" s="18" t="inlineStr">
        <is>
          <t>需要予測</t>
        </is>
      </c>
      <c r="C54" s="19" t="inlineStr">
        <is>
          <t>需要の上限クリップ</t>
        </is>
      </c>
      <c r="D54" s="20" t="inlineStr">
        <is>
          <t>計算式</t>
        </is>
      </c>
      <c r="E54" s="21" t="inlineStr">
        <is>
          <t>予測稼働は 0〜100% にクリップするが、100%に張り付いた日は「制約なし需要」を別に保存する（例: 115%）。価格判断はクリップ前の値で行う。</t>
        </is>
      </c>
      <c r="F54" s="22" t="inlineStr">
        <is>
          <t>unconstrainedOccupancy を別保存</t>
        </is>
      </c>
      <c r="G54" s="23" t="inlineStr"/>
      <c r="H54" s="24" t="inlineStr"/>
      <c r="I54" s="18" t="inlineStr">
        <is>
          <t>F-DP-05</t>
        </is>
      </c>
    </row>
    <row r="55" ht="66" customHeight="1">
      <c r="A55" s="17" t="inlineStr">
        <is>
          <t>C-15</t>
        </is>
      </c>
      <c r="B55" s="18" t="inlineStr">
        <is>
          <t>需要予測</t>
        </is>
      </c>
      <c r="C55" s="19" t="inlineStr">
        <is>
          <t>確信度の算出</t>
        </is>
      </c>
      <c r="D55" s="20" t="inlineStr">
        <is>
          <t>計算式</t>
        </is>
      </c>
      <c r="E55" s="21" t="inlineStr">
        <is>
          <t>確信度 = データ充足（移動平均・前年の有無）× 予測誤差実績（同リードタイムでの過去MAPE）× 異常要因の有無（新規イベント・断絶期）。0〜1で保存し、説明文と価格変更幅の抑制に使う。</t>
        </is>
      </c>
      <c r="F55" s="22" t="inlineStr">
        <is>
          <t>両データ有 0.85 / 移動平均のみ 0.7 / 前年のみ 0.6 / なし 0.4</t>
        </is>
      </c>
      <c r="G55" s="23" t="inlineStr"/>
      <c r="H55" s="24" t="inlineStr"/>
      <c r="I55" s="18" t="inlineStr">
        <is>
          <t>computeConfidence / AiPriceRecommendation.confidence</t>
        </is>
      </c>
    </row>
    <row r="56" ht="36" customHeight="1">
      <c r="A56" s="17" t="inlineStr">
        <is>
          <t>C-16</t>
        </is>
      </c>
      <c r="B56" s="18" t="inlineStr">
        <is>
          <t>需要予測</t>
        </is>
      </c>
      <c r="C56" s="19" t="inlineStr">
        <is>
          <t>確信度と価格幅の連動</t>
        </is>
      </c>
      <c r="D56" s="26" t="inlineStr">
        <is>
          <t>判定ルール</t>
        </is>
      </c>
      <c r="E56" s="21" t="inlineStr">
        <is>
          <t>確信度が低い日は推奨ランクの変更幅を抑える（±1ランク以内）。確信度が高い日は大きく動かしてよい。低確信度で大きく動かすのは予測の過信。</t>
        </is>
      </c>
      <c r="F56" s="22" t="inlineStr">
        <is>
          <t>conf&lt;0.6 → 変更幅 ±1ランク</t>
        </is>
      </c>
      <c r="G56" s="23" t="inlineStr"/>
      <c r="H56" s="24" t="inlineStr"/>
      <c r="I56" s="18" t="inlineStr">
        <is>
          <t>F-DP-01 / F-DP-05</t>
        </is>
      </c>
    </row>
    <row r="57" ht="36" customHeight="1">
      <c r="A57" s="17" t="inlineStr">
        <is>
          <t>C-17</t>
        </is>
      </c>
      <c r="B57" s="18" t="inlineStr">
        <is>
          <t>需要予測</t>
        </is>
      </c>
      <c r="C57" s="19" t="inlineStr">
        <is>
          <t>予測の更新頻度</t>
        </is>
      </c>
      <c r="D57" s="26" t="inlineStr">
        <is>
          <t>判定ルール</t>
        </is>
      </c>
      <c r="E57" s="21" t="inlineStr">
        <is>
          <t>予測は最低日次で再計算し、イベント登録・団体確定・大量キャンセル等のトリガー時は即時再計算する。90日超先は週次でよい。</t>
        </is>
      </c>
      <c r="F57" s="22" t="inlineStr">
        <is>
          <t>日次 + イベントトリガー</t>
        </is>
      </c>
      <c r="G57" s="23" t="inlineStr"/>
      <c r="H57" s="24" t="inlineStr"/>
      <c r="I57" s="18" t="inlineStr">
        <is>
          <t>バッチ（Phase 4）</t>
        </is>
      </c>
    </row>
    <row r="58" ht="51" customHeight="1">
      <c r="A58" s="17" t="inlineStr">
        <is>
          <t>C-18</t>
        </is>
      </c>
      <c r="B58" s="18" t="inlineStr">
        <is>
          <t>需要予測</t>
        </is>
      </c>
      <c r="C58" s="19" t="inlineStr">
        <is>
          <t>予測精度の評価</t>
        </is>
      </c>
      <c r="D58" s="20" t="inlineStr">
        <is>
          <t>計算式</t>
        </is>
      </c>
      <c r="E58" s="21" t="inlineStr">
        <is>
          <t>MAPE（平均絶対誤差率）と Bias（平均符号付き誤差）をリードタイム別（30日前・14日前・7日前・前日）に月次で算出。Biasが恒常的に負なら弱気癖、正なら強気癖として補正係数を見直す。</t>
        </is>
      </c>
      <c r="F58" s="22" t="inlineStr">
        <is>
          <t>目標 MAPE: 30日前 ≤12%、7日前 ≤6%</t>
        </is>
      </c>
      <c r="G58" s="23" t="inlineStr"/>
      <c r="H58" s="24" t="inlineStr"/>
      <c r="I58" s="18" t="inlineStr">
        <is>
          <t>F-DP-05（精度ログ）</t>
        </is>
      </c>
    </row>
    <row r="59" ht="51" customHeight="1">
      <c r="A59" s="17" t="inlineStr">
        <is>
          <t>C-19</t>
        </is>
      </c>
      <c r="B59" s="18" t="inlineStr">
        <is>
          <t>需要予測</t>
        </is>
      </c>
      <c r="C59" s="19" t="inlineStr">
        <is>
          <t>予測の説明可能性</t>
        </is>
      </c>
      <c r="D59" s="28" t="inlineStr">
        <is>
          <t>説明ルール</t>
        </is>
      </c>
      <c r="E59" s="21" t="inlineStr">
        <is>
          <t>各日の予測には内訳（ベースライン・前年・イベント・週末・ペースの各寄与）を保存し、「なぜこの予測か」を1文で説明できる形にする。ブラックボックス化した予測は現場に採用されない。</t>
        </is>
      </c>
      <c r="F59" s="22" t="inlineStr">
        <is>
          <t>寄与を項目別に保存</t>
        </is>
      </c>
      <c r="G59" s="23" t="inlineStr"/>
      <c r="H59" s="24" t="inlineStr"/>
      <c r="I59" s="18" t="inlineStr">
        <is>
          <t>AiPriceRecommendation（拡張）/ F-DASH-06</t>
        </is>
      </c>
    </row>
    <row r="60" ht="51" customHeight="1">
      <c r="A60" s="17" t="inlineStr">
        <is>
          <t>C-20</t>
        </is>
      </c>
      <c r="B60" s="18" t="inlineStr">
        <is>
          <t>需要予測</t>
        </is>
      </c>
      <c r="C60" s="19" t="inlineStr">
        <is>
          <t>新規開業・データ不足時</t>
        </is>
      </c>
      <c r="D60" s="26" t="inlineStr">
        <is>
          <t>判定ルール</t>
        </is>
      </c>
      <c r="E60" s="21" t="inlineStr">
        <is>
          <t>自館実績が不足する期間は、コンプセットの市場稼働 × 自館の想定シェア、または類似ホテルのパターンをベースラインに使い、確信度を0.4以下にして毎週見直す。</t>
        </is>
      </c>
      <c r="F60" s="22" t="inlineStr">
        <is>
          <t>conf ≤ 0.4</t>
        </is>
      </c>
      <c r="G60" s="23" t="inlineStr"/>
      <c r="H60" s="24" t="inlineStr"/>
      <c r="I60" s="18" t="inlineStr">
        <is>
          <t>F-DP-05</t>
        </is>
      </c>
    </row>
    <row r="61" ht="51" customHeight="1">
      <c r="A61" s="17" t="inlineStr">
        <is>
          <t>C-21</t>
        </is>
      </c>
      <c r="B61" s="18" t="inlineStr">
        <is>
          <t>需要予測</t>
        </is>
      </c>
      <c r="C61" s="19" t="inlineStr">
        <is>
          <t>需要の季節指数</t>
        </is>
      </c>
      <c r="D61" s="20" t="inlineStr">
        <is>
          <t>計算式</t>
        </is>
      </c>
      <c r="E61" s="21" t="inlineStr">
        <is>
          <t>月別・週別の季節指数 = 当期平均稼働 ÷ 年平均稼働。年間ベースラインに掛けて遠い将来（90日超）の予測に使う。過去2〜3年の平均で作り、年1回更新。</t>
        </is>
      </c>
      <c r="F61" s="22" t="inlineStr">
        <is>
          <t>過去3年平均</t>
        </is>
      </c>
      <c r="G61" s="23" t="inlineStr"/>
      <c r="H61" s="24" t="inlineStr"/>
      <c r="I61" s="18" t="inlineStr">
        <is>
          <t>F-DP-05 / F-ANA-03</t>
        </is>
      </c>
    </row>
    <row r="62" ht="51" customHeight="1">
      <c r="A62" s="17" t="inlineStr">
        <is>
          <t>C-22</t>
        </is>
      </c>
      <c r="B62" s="18" t="inlineStr">
        <is>
          <t>需要予測</t>
        </is>
      </c>
      <c r="C62" s="19" t="inlineStr">
        <is>
          <t>天候の扱い</t>
        </is>
      </c>
      <c r="D62" s="26" t="inlineStr">
        <is>
          <t>判定ルール</t>
        </is>
      </c>
      <c r="E62" s="21" t="inlineStr">
        <is>
          <t>天候は7日以内の直前予測にのみ反映する（それ以前は予報精度が低い）。レジャー型は悪天候予報で直前需要 −5〜10pt、ビジネス型は影響小。台風等の交通麻痺はキャンセル急増として別途扱う。</t>
        </is>
      </c>
      <c r="F62" s="22" t="inlineStr">
        <is>
          <t>7日以内のみ</t>
        </is>
      </c>
      <c r="G62" s="23" t="inlineStr"/>
      <c r="H62" s="24" t="inlineStr"/>
      <c r="I62" s="18" t="inlineStr">
        <is>
          <t>DailyData.externalFactors</t>
        </is>
      </c>
    </row>
    <row r="63" ht="51" customHeight="1">
      <c r="A63" s="17" t="inlineStr">
        <is>
          <t>C-23</t>
        </is>
      </c>
      <c r="B63" s="18" t="inlineStr">
        <is>
          <t>需要予測</t>
        </is>
      </c>
      <c r="C63" s="19" t="inlineStr">
        <is>
          <t>インバウンド比率の考慮</t>
        </is>
      </c>
      <c r="D63" s="26" t="inlineStr">
        <is>
          <t>判定ルール</t>
        </is>
      </c>
      <c r="E63" s="21" t="inlineStr">
        <is>
          <t>インバウンド比率が高いホテルは、為替・航空便・訪日者数統計・大型連休（春節・国慶節等）を需要要因に加える。国内の祝日カレンダーだけでは説明できない山ができる。</t>
        </is>
      </c>
      <c r="F63" s="22" t="inlineStr">
        <is>
          <t>海外連休カレンダーをイベントとして登録</t>
        </is>
      </c>
      <c r="G63" s="23" t="inlineStr"/>
      <c r="H63" s="24" t="inlineStr"/>
      <c r="I63" s="18" t="inlineStr">
        <is>
          <t>Event.type = intl_holiday</t>
        </is>
      </c>
    </row>
    <row r="64" ht="36" customHeight="1">
      <c r="A64" s="17" t="inlineStr">
        <is>
          <t>C-24</t>
        </is>
      </c>
      <c r="B64" s="18" t="inlineStr">
        <is>
          <t>需要予測</t>
        </is>
      </c>
      <c r="C64" s="19" t="inlineStr">
        <is>
          <t>予測の下限保護</t>
        </is>
      </c>
      <c r="D64" s="26" t="inlineStr">
        <is>
          <t>判定ルール</t>
        </is>
      </c>
      <c r="E64" s="21" t="inlineStr">
        <is>
          <t>予測稼働が過去同曜日の最低値を下回る場合、外れ値やデータ不備を疑いフラグを立てる。極端な弱気予測がそのまま値下げ推奨につながるのを防ぐ。</t>
        </is>
      </c>
      <c r="F64" s="22" t="inlineStr">
        <is>
          <t>過去8週の最低値を下限</t>
        </is>
      </c>
      <c r="G64" s="23" t="inlineStr"/>
      <c r="H64" s="24" t="inlineStr"/>
      <c r="I64" s="18" t="inlineStr">
        <is>
          <t>N（アラート連携）</t>
        </is>
      </c>
    </row>
    <row r="65" ht="51" customHeight="1">
      <c r="A65" s="17" t="inlineStr">
        <is>
          <t>C-25</t>
        </is>
      </c>
      <c r="B65" s="18" t="inlineStr">
        <is>
          <t>需要予測</t>
        </is>
      </c>
      <c r="C65" s="19" t="inlineStr">
        <is>
          <t>2段階予測（室数と単価）</t>
        </is>
      </c>
      <c r="D65" s="20" t="inlineStr">
        <is>
          <t>計算式</t>
        </is>
      </c>
      <c r="E65" s="21" t="inlineStr">
        <is>
          <t>稼働（室数）予測とADR予測は分けて行う。ADR予測 = 推奨ランクの価格 × 想定ミックス（人数構成・部屋タイプ構成）。売上予測 = 室数 × ADR。</t>
        </is>
      </c>
      <c r="F65" s="22" t="inlineStr">
        <is>
          <t>—</t>
        </is>
      </c>
      <c r="G65" s="23" t="inlineStr"/>
      <c r="H65" s="24" t="inlineStr"/>
      <c r="I65" s="18" t="inlineStr">
        <is>
          <t>AiPriceRecommendation.predictedAdr</t>
        </is>
      </c>
    </row>
    <row r="66" ht="51" customHeight="1">
      <c r="A66" s="17" t="inlineStr">
        <is>
          <t>C-26</t>
        </is>
      </c>
      <c r="B66" s="18" t="inlineStr">
        <is>
          <t>需要予測</t>
        </is>
      </c>
      <c r="C66" s="19" t="inlineStr">
        <is>
          <t>ミックス予測</t>
        </is>
      </c>
      <c r="D66" s="20" t="inlineStr">
        <is>
          <t>計算式</t>
        </is>
      </c>
      <c r="E66" s="21" t="inlineStr">
        <is>
          <t>利用人数構成（1名/2名/3名以上）の比率を曜日・季節別に持ち、ADR・DOR予測に使う。週末は2名以上比率が上がり、平日は1名比率が上がるのが都市型の典型。</t>
        </is>
      </c>
      <c r="F66" s="22" t="inlineStr">
        <is>
          <t>曜日×月の構成比テーブル</t>
        </is>
      </c>
      <c r="G66" s="23" t="inlineStr"/>
      <c r="H66" s="24" t="inlineStr"/>
      <c r="I66" s="18" t="inlineStr">
        <is>
          <t>F-ANA-01 / DailyRoomData</t>
        </is>
      </c>
    </row>
    <row r="67" ht="51" customHeight="1">
      <c r="A67" s="17" t="inlineStr">
        <is>
          <t>C-27</t>
        </is>
      </c>
      <c r="B67" s="18" t="inlineStr">
        <is>
          <t>需要予測</t>
        </is>
      </c>
      <c r="C67" s="19" t="inlineStr">
        <is>
          <t>モデル差し替えの原則</t>
        </is>
      </c>
      <c r="D67" s="27" t="inlineStr">
        <is>
          <t>注意</t>
        </is>
      </c>
      <c r="E67" s="21" t="inlineStr">
        <is>
          <t>ルールベース→ML移行時も、出力インターフェース（予測稼働・需要レベル・推奨ランク・確信度・寄与内訳）は変えない。モデルバージョンを保存し、精度比較ができる状態を維持する。</t>
        </is>
      </c>
      <c r="F67" s="22" t="inlineStr">
        <is>
          <t>modelVersion を必須保存</t>
        </is>
      </c>
      <c r="G67" s="23" t="inlineStr"/>
      <c r="H67" s="24" t="inlineStr"/>
      <c r="I67" s="18" t="inlineStr">
        <is>
          <t>AiPriceRecommendation.modelVersion / DemandForecaster IF</t>
        </is>
      </c>
    </row>
    <row r="68" ht="36" customHeight="1">
      <c r="A68" s="17" t="inlineStr">
        <is>
          <t>C-28</t>
        </is>
      </c>
      <c r="B68" s="18" t="inlineStr">
        <is>
          <t>需要予測</t>
        </is>
      </c>
      <c r="C68" s="19" t="inlineStr">
        <is>
          <t>バックテスト</t>
        </is>
      </c>
      <c r="D68" s="26" t="inlineStr">
        <is>
          <t>判定ルール</t>
        </is>
      </c>
      <c r="E68" s="21" t="inlineStr">
        <is>
          <t>予測ロジックの変更は、過去12か月に対するバックテスト（MAPE・Biasの改善）を確認してから本番適用する。1か月分の目視確認だけで採用しない。</t>
        </is>
      </c>
      <c r="F68" s="22" t="inlineStr">
        <is>
          <t>12か月バックテスト</t>
        </is>
      </c>
      <c r="G68" s="23" t="inlineStr"/>
      <c r="H68" s="24" t="inlineStr"/>
      <c r="I68" s="18" t="inlineStr">
        <is>
          <t>F-DP-05</t>
        </is>
      </c>
    </row>
    <row r="69" ht="36" customHeight="1">
      <c r="A69" s="17" t="inlineStr">
        <is>
          <t>C-29</t>
        </is>
      </c>
      <c r="B69" s="18" t="inlineStr">
        <is>
          <t>需要予測</t>
        </is>
      </c>
      <c r="C69" s="19" t="inlineStr">
        <is>
          <t>予測値の丸め</t>
        </is>
      </c>
      <c r="D69" s="27" t="inlineStr">
        <is>
          <t>注意</t>
        </is>
      </c>
      <c r="E69" s="21" t="inlineStr">
        <is>
          <t>表示上の稼働は整数%、内部計算は小数で保持する。丸めた値で需要レベル判定をすると境界付近で不安定になる。</t>
        </is>
      </c>
      <c r="F69" s="22" t="inlineStr">
        <is>
          <t>内部は小数3桁</t>
        </is>
      </c>
      <c r="G69" s="23" t="inlineStr"/>
      <c r="H69" s="24" t="inlineStr"/>
      <c r="I69" s="18" t="inlineStr">
        <is>
          <t>computePredictedOccupancy（3桁丸め）</t>
        </is>
      </c>
    </row>
    <row r="70" ht="36" customHeight="1">
      <c r="A70" s="17" t="inlineStr">
        <is>
          <t>C-30</t>
        </is>
      </c>
      <c r="B70" s="18" t="inlineStr">
        <is>
          <t>需要予測</t>
        </is>
      </c>
      <c r="C70" s="19" t="inlineStr">
        <is>
          <t>予測と実績の並列表示</t>
        </is>
      </c>
      <c r="D70" s="28" t="inlineStr">
        <is>
          <t>説明ルール</t>
        </is>
      </c>
      <c r="E70" s="21" t="inlineStr">
        <is>
          <t>カレンダー・グラフでは予測と実績を同じ軸で連続表示し、実績確定後は「予測との差」を残す。差の履歴が精度改善とレビュアーの信頼を生む。</t>
        </is>
      </c>
      <c r="F70" s="22" t="inlineStr">
        <is>
          <t>—</t>
        </is>
      </c>
      <c r="G70" s="23" t="inlineStr"/>
      <c r="H70" s="24" t="inlineStr"/>
      <c r="I70" s="18" t="inlineStr">
        <is>
          <t>F-DASH-03 / F-DP-01</t>
        </is>
      </c>
    </row>
    <row r="71" ht="51" customHeight="1">
      <c r="A71" s="17" t="inlineStr">
        <is>
          <t>C-31</t>
        </is>
      </c>
      <c r="B71" s="18" t="inlineStr">
        <is>
          <t>需要予測</t>
        </is>
      </c>
      <c r="C71" s="19" t="inlineStr">
        <is>
          <t>複数日程の相互作用</t>
        </is>
      </c>
      <c r="D71" s="26" t="inlineStr">
        <is>
          <t>判定ルール</t>
        </is>
      </c>
      <c r="E71" s="21" t="inlineStr">
        <is>
          <t>連泊需要が多い日は前後日の予測を連動させる（片方が満室なら連泊需要が隣日にも来ない）。イベント前後泊もこの一種。独立予測だけでは連休の谷を過大に読む。</t>
        </is>
      </c>
      <c r="F71" s="22" t="inlineStr">
        <is>
          <t>—</t>
        </is>
      </c>
      <c r="G71" s="23" t="inlineStr"/>
      <c r="H71" s="24" t="inlineStr"/>
      <c r="I71" s="18" t="inlineStr">
        <is>
          <t>F-DP-05</t>
        </is>
      </c>
    </row>
    <row r="72" ht="36" customHeight="1">
      <c r="A72" s="17" t="inlineStr">
        <is>
          <t>C-32</t>
        </is>
      </c>
      <c r="B72" s="18" t="inlineStr">
        <is>
          <t>需要予測</t>
        </is>
      </c>
      <c r="C72" s="19" t="inlineStr">
        <is>
          <t>予測凍結（Freeze）</t>
        </is>
      </c>
      <c r="D72" s="27" t="inlineStr">
        <is>
          <t>注意</t>
        </is>
      </c>
      <c r="E72" s="21" t="inlineStr">
        <is>
          <t>当日・翌日の予測は当日朝以降更新を止め、実績との比較用に凍結値を残す。動き続ける予測は精度評価ができない。</t>
        </is>
      </c>
      <c r="F72" s="22" t="inlineStr">
        <is>
          <t>前日18時で凍結</t>
        </is>
      </c>
      <c r="G72" s="23" t="inlineStr"/>
      <c r="H72" s="24" t="inlineStr"/>
      <c r="I72" s="18" t="inlineStr">
        <is>
          <t>AiPriceRecommendation.computedAt</t>
        </is>
      </c>
    </row>
    <row r="73" ht="22" customHeight="1">
      <c r="A73" s="16" t="inlineStr">
        <is>
          <t>D　需要レベル判定　　（関連: DemandLevel A〜E）</t>
        </is>
      </c>
    </row>
    <row r="74" ht="51" customHeight="1">
      <c r="A74" s="17" t="inlineStr">
        <is>
          <t>D-01</t>
        </is>
      </c>
      <c r="B74" s="18" t="inlineStr">
        <is>
          <t>需要レベル判定</t>
        </is>
      </c>
      <c r="C74" s="19" t="inlineStr">
        <is>
          <t>需要レベルの定義</t>
        </is>
      </c>
      <c r="D74" s="25" t="inlineStr">
        <is>
          <t>定義</t>
        </is>
      </c>
      <c r="E74" s="21" t="inlineStr">
        <is>
          <t>A〜Eの5段階。A = 売り切れが確実で強気最大、B = 強い、C = 標準、D = 弱い、E = 非常に弱い。価格推奨・アラート・説明文のトーンはこのレベルに連動する。</t>
        </is>
      </c>
      <c r="F74" s="22" t="inlineStr">
        <is>
          <t>5段階固定</t>
        </is>
      </c>
      <c r="G74" s="23" t="inlineStr"/>
      <c r="H74" s="24" t="inlineStr"/>
      <c r="I74" s="18" t="inlineStr">
        <is>
          <t>DemandLevel enum</t>
        </is>
      </c>
    </row>
    <row r="75" ht="51" customHeight="1">
      <c r="A75" s="17" t="inlineStr">
        <is>
          <t>D-02</t>
        </is>
      </c>
      <c r="B75" s="18" t="inlineStr">
        <is>
          <t>需要レベル判定</t>
        </is>
      </c>
      <c r="C75" s="19" t="inlineStr">
        <is>
          <t>レベル判定の入力</t>
        </is>
      </c>
      <c r="D75" s="26" t="inlineStr">
        <is>
          <t>判定ルール</t>
        </is>
      </c>
      <c r="E75" s="21" t="inlineStr">
        <is>
          <t>レベルは予測稼働だけで決めず、①予測稼働 ②ペース（STLY比） ③残需要 vs 残在庫 の3要素で決める。予測が70%でもペースが+30%なら1段上げる。</t>
        </is>
      </c>
      <c r="F75" s="22" t="inlineStr">
        <is>
          <t>3要素合成</t>
        </is>
      </c>
      <c r="G75" s="23" t="inlineStr"/>
      <c r="H75" s="24" t="inlineStr"/>
      <c r="I75" s="18" t="inlineStr">
        <is>
          <t>F-DP-05</t>
        </is>
      </c>
    </row>
    <row r="76" ht="51" customHeight="1">
      <c r="A76" s="17" t="inlineStr">
        <is>
          <t>D-03</t>
        </is>
      </c>
      <c r="B76" s="18" t="inlineStr">
        <is>
          <t>需要レベル判定</t>
        </is>
      </c>
      <c r="C76" s="19" t="inlineStr">
        <is>
          <t>稼働閾値（初期値）</t>
        </is>
      </c>
      <c r="D76" s="26" t="inlineStr">
        <is>
          <t>判定ルール</t>
        </is>
      </c>
      <c r="E76" s="21" t="inlineStr">
        <is>
          <t>予測稼働ベースの初期閾値: A &gt; 90%、B &gt; 80%、C &gt; 65%、D &gt; 50%、E ≤ 50%。ホテルの平均稼働に応じて調整する（平均85%のホテルはA閾値を95%に）。</t>
        </is>
      </c>
      <c r="F76" s="22" t="inlineStr">
        <is>
          <t>90/80/65/50（平均稼働で調整）</t>
        </is>
      </c>
      <c r="G76" s="23" t="inlineStr"/>
      <c r="H76" s="24" t="inlineStr"/>
      <c r="I76" s="18" t="inlineStr">
        <is>
          <t>mapOccupancyToDemandLevel</t>
        </is>
      </c>
    </row>
    <row r="77" ht="36" customHeight="1">
      <c r="A77" s="17" t="inlineStr">
        <is>
          <t>D-04</t>
        </is>
      </c>
      <c r="B77" s="18" t="inlineStr">
        <is>
          <t>需要レベル判定</t>
        </is>
      </c>
      <c r="C77" s="19" t="inlineStr">
        <is>
          <t>ペースによる補正</t>
        </is>
      </c>
      <c r="D77" s="26" t="inlineStr">
        <is>
          <t>判定ルール</t>
        </is>
      </c>
      <c r="E77" s="21" t="inlineStr">
        <is>
          <t>同リードタイムSTLY比で +20%以上速い → 1段上げ、−20%以上遅い → 1段下げ。ただし前年が異常期の場合はペース補正を無効化する。</t>
        </is>
      </c>
      <c r="F77" s="22" t="inlineStr">
        <is>
          <t>±20%で±1段</t>
        </is>
      </c>
      <c r="G77" s="23" t="inlineStr"/>
      <c r="H77" s="24" t="inlineStr"/>
      <c r="I77" s="18" t="inlineStr">
        <is>
          <t>F-DP-05</t>
        </is>
      </c>
    </row>
    <row r="78" ht="36" customHeight="1">
      <c r="A78" s="17" t="inlineStr">
        <is>
          <t>D-05</t>
        </is>
      </c>
      <c r="B78" s="18" t="inlineStr">
        <is>
          <t>需要レベル判定</t>
        </is>
      </c>
      <c r="C78" s="19" t="inlineStr">
        <is>
          <t>残需要による補正</t>
        </is>
      </c>
      <c r="D78" s="26" t="inlineStr">
        <is>
          <t>判定ルール</t>
        </is>
      </c>
      <c r="E78" s="21" t="inlineStr">
        <is>
          <t>残需要 ÷ 残在庫 ≥ 1.2 なら1段上げ（売り切れ確実）、≤ 0.5 なら1段下げ。リードタイム7日以内で特に重視する。</t>
        </is>
      </c>
      <c r="F78" s="22" t="inlineStr">
        <is>
          <t>≥1.2 / ≤0.5</t>
        </is>
      </c>
      <c r="G78" s="23" t="inlineStr"/>
      <c r="H78" s="24" t="inlineStr"/>
      <c r="I78" s="18" t="inlineStr">
        <is>
          <t>F-DP-05</t>
        </is>
      </c>
    </row>
    <row r="79" ht="36" customHeight="1">
      <c r="A79" s="17" t="inlineStr">
        <is>
          <t>D-06</t>
        </is>
      </c>
      <c r="B79" s="18" t="inlineStr">
        <is>
          <t>需要レベル判定</t>
        </is>
      </c>
      <c r="C79" s="19" t="inlineStr">
        <is>
          <t>ヒステリシス（ばたつき防止）</t>
        </is>
      </c>
      <c r="D79" s="26" t="inlineStr">
        <is>
          <t>判定ルール</t>
        </is>
      </c>
      <c r="E79" s="21" t="inlineStr">
        <is>
          <t>レベルの上下は閾値を跨いだだけで変えず、境界から±3pt以上離れたときに変更する。日々AとBを往復すると価格も往復し、現場の信頼を失う。</t>
        </is>
      </c>
      <c r="F79" s="22" t="inlineStr">
        <is>
          <t>境界 ±3pt</t>
        </is>
      </c>
      <c r="G79" s="23" t="inlineStr"/>
      <c r="H79" s="24" t="inlineStr"/>
      <c r="I79" s="18" t="inlineStr">
        <is>
          <t>F-DP-05</t>
        </is>
      </c>
    </row>
    <row r="80" ht="51" customHeight="1">
      <c r="A80" s="17" t="inlineStr">
        <is>
          <t>D-07</t>
        </is>
      </c>
      <c r="B80" s="18" t="inlineStr">
        <is>
          <t>需要レベル判定</t>
        </is>
      </c>
      <c r="C80" s="19" t="inlineStr">
        <is>
          <t>レベルの手動上書き</t>
        </is>
      </c>
      <c r="D80" s="26" t="inlineStr">
        <is>
          <t>判定ルール</t>
        </is>
      </c>
      <c r="E80" s="21" t="inlineStr">
        <is>
          <t>MANAGER はレベルを手動で上書きでき、理由とともに監査ログに残す。上書きは有効期限（例: 7日）を持ち、期限後は自動判定に戻る。上書きと自動値の差は精度評価に使う。</t>
        </is>
      </c>
      <c r="F80" s="22" t="inlineStr">
        <is>
          <t>上書き有効期限 7日</t>
        </is>
      </c>
      <c r="G80" s="23" t="inlineStr"/>
      <c r="H80" s="24" t="inlineStr"/>
      <c r="I80" s="18" t="inlineStr">
        <is>
          <t>F-DP-03 / AuditLog</t>
        </is>
      </c>
    </row>
    <row r="81" ht="36" customHeight="1">
      <c r="A81" s="17" t="inlineStr">
        <is>
          <t>D-08</t>
        </is>
      </c>
      <c r="B81" s="18" t="inlineStr">
        <is>
          <t>需要レベル判定</t>
        </is>
      </c>
      <c r="C81" s="19" t="inlineStr">
        <is>
          <t>レベルと推奨ランクの関係</t>
        </is>
      </c>
      <c r="D81" s="26" t="inlineStr">
        <is>
          <t>判定ルール</t>
        </is>
      </c>
      <c r="E81" s="21" t="inlineStr">
        <is>
          <t>需要レベルは「方向と強さ」、推奨ランクは「具体の価格」。同じレベルでもリードタイム・残在庫でランクは変わる。レベル→ランクの固定対応表にしない。</t>
        </is>
      </c>
      <c r="F81" s="22" t="inlineStr">
        <is>
          <t>—</t>
        </is>
      </c>
      <c r="G81" s="23" t="inlineStr"/>
      <c r="H81" s="24" t="inlineStr"/>
      <c r="I81" s="18" t="inlineStr">
        <is>
          <t>F-DP-01</t>
        </is>
      </c>
    </row>
    <row r="82" ht="36" customHeight="1">
      <c r="A82" s="17" t="inlineStr">
        <is>
          <t>D-09</t>
        </is>
      </c>
      <c r="B82" s="18" t="inlineStr">
        <is>
          <t>需要レベル判定</t>
        </is>
      </c>
      <c r="C82" s="19" t="inlineStr">
        <is>
          <t>イベント日のレベル</t>
        </is>
      </c>
      <c r="D82" s="26" t="inlineStr">
        <is>
          <t>判定ルール</t>
        </is>
      </c>
      <c r="E82" s="21" t="inlineStr">
        <is>
          <t>影響度「高」のイベント日は、予測稼働が閾値未満でも最低Bとする（イベントは直前に急伸するため早期の弱気を防ぐ）。</t>
        </is>
      </c>
      <c r="F82" s="22" t="inlineStr">
        <is>
          <t>高影響 → 最低B</t>
        </is>
      </c>
      <c r="G82" s="23" t="inlineStr"/>
      <c r="H82" s="24" t="inlineStr"/>
      <c r="I82" s="18" t="inlineStr">
        <is>
          <t>Event.expectedImpact</t>
        </is>
      </c>
    </row>
    <row r="83" ht="36" customHeight="1">
      <c r="A83" s="17" t="inlineStr">
        <is>
          <t>D-10</t>
        </is>
      </c>
      <c r="B83" s="18" t="inlineStr">
        <is>
          <t>需要レベル判定</t>
        </is>
      </c>
      <c r="C83" s="19" t="inlineStr">
        <is>
          <t>レベルの説明文</t>
        </is>
      </c>
      <c r="D83" s="28" t="inlineStr">
        <is>
          <t>説明ルール</t>
        </is>
      </c>
      <c r="E83" s="21" t="inlineStr">
        <is>
          <t>各レベルには根拠を1文添える。例「B: 予測稼働84%、前年同曜日より予約が18%速く、近隣で展示会（中）」。レベルだけの表示は現場が納得しない。</t>
        </is>
      </c>
      <c r="F83" s="22" t="inlineStr">
        <is>
          <t>—</t>
        </is>
      </c>
      <c r="G83" s="23" t="inlineStr"/>
      <c r="H83" s="24" t="inlineStr"/>
      <c r="I83" s="18" t="inlineStr">
        <is>
          <t>F-DASH-06 / F-DP-05</t>
        </is>
      </c>
    </row>
    <row r="84" ht="51" customHeight="1">
      <c r="A84" s="17" t="inlineStr">
        <is>
          <t>D-11</t>
        </is>
      </c>
      <c r="B84" s="18" t="inlineStr">
        <is>
          <t>需要レベル判定</t>
        </is>
      </c>
      <c r="C84" s="19" t="inlineStr">
        <is>
          <t>レベル分布の健全性</t>
        </is>
      </c>
      <c r="D84" s="26" t="inlineStr">
        <is>
          <t>判定ルール</t>
        </is>
      </c>
      <c r="E84" s="21" t="inlineStr">
        <is>
          <t>月内のレベル分布が極端（全日Aや全日E）になったら閾値のキャリブレーション不良を疑う。目安は年間でA 10〜15%、B 20%、C 30〜40%、D 20%、E 10%程度。</t>
        </is>
      </c>
      <c r="F84" s="22" t="inlineStr">
        <is>
          <t>年間分布の目安</t>
        </is>
      </c>
      <c r="G84" s="23" t="inlineStr"/>
      <c r="H84" s="24" t="inlineStr"/>
      <c r="I84" s="18" t="inlineStr">
        <is>
          <t>F-DP-05</t>
        </is>
      </c>
    </row>
    <row r="85" ht="36" customHeight="1">
      <c r="A85" s="17" t="inlineStr">
        <is>
          <t>D-12</t>
        </is>
      </c>
      <c r="B85" s="18" t="inlineStr">
        <is>
          <t>需要レベル判定</t>
        </is>
      </c>
      <c r="C85" s="19" t="inlineStr">
        <is>
          <t>レベルの遷移ログ</t>
        </is>
      </c>
      <c r="D85" s="27" t="inlineStr">
        <is>
          <t>注意</t>
        </is>
      </c>
      <c r="E85" s="21" t="inlineStr">
        <is>
          <t>レベルが変わった日時・理由（どの入力が動いたか）をログに残す。「なぜ昨日Bだったのが今日Cなのか」に即答できる状態を保つ。</t>
        </is>
      </c>
      <c r="F85" s="22" t="inlineStr">
        <is>
          <t>—</t>
        </is>
      </c>
      <c r="G85" s="23" t="inlineStr"/>
      <c r="H85" s="24" t="inlineStr"/>
      <c r="I85" s="18" t="inlineStr">
        <is>
          <t>AiPriceRecommendation（履歴）</t>
        </is>
      </c>
    </row>
    <row r="86" ht="22" customHeight="1">
      <c r="A86" s="16" t="inlineStr">
        <is>
          <t>E　価格決定　　（関連: F-DP-01 / F-DP-02 / F-DP-03 / PricingStrategyConfig）</t>
        </is>
      </c>
    </row>
    <row r="87" ht="51" customHeight="1">
      <c r="A87" s="17" t="inlineStr">
        <is>
          <t>E-01</t>
        </is>
      </c>
      <c r="B87" s="18" t="inlineStr">
        <is>
          <t>価格決定</t>
        </is>
      </c>
      <c r="C87" s="19" t="inlineStr">
        <is>
          <t>価格決定の目的関数</t>
        </is>
      </c>
      <c r="D87" s="25" t="inlineStr">
        <is>
          <t>定義</t>
        </is>
      </c>
      <c r="E87" s="21" t="inlineStr">
        <is>
          <t>目的は当日のRevPAR最大化ではなく、残在庫を使った「残期間の売上最大化」。今日1室を安く売ることで失う直前の高単価需要（機会費用）を常に勘定に入れる。</t>
        </is>
      </c>
      <c r="F87" s="22" t="inlineStr">
        <is>
          <t>—</t>
        </is>
      </c>
      <c r="G87" s="23" t="inlineStr"/>
      <c r="H87" s="24" t="inlineStr"/>
      <c r="I87" s="18" t="inlineStr">
        <is>
          <t>F-DP-01</t>
        </is>
      </c>
    </row>
    <row r="88" ht="66" customHeight="1">
      <c r="A88" s="17" t="inlineStr">
        <is>
          <t>E-02</t>
        </is>
      </c>
      <c r="B88" s="18" t="inlineStr">
        <is>
          <t>価格決定</t>
        </is>
      </c>
      <c r="C88" s="19" t="inlineStr">
        <is>
          <t>重み付けの意味</t>
        </is>
      </c>
      <c r="D88" s="25" t="inlineStr">
        <is>
          <t>定義</t>
        </is>
      </c>
      <c r="E88" s="21" t="inlineStr">
        <is>
          <t>稼働率重視 = 埋めることを優先し弱い日は下げやすい。ADR重視 = 単価維持を優先し下げ渋り上げ早め。競合追従度 = 競合価格の参照度。3つの合計は100%。重みは「方針」を数値化したものでアルゴリズムの直接の係数ではない。</t>
        </is>
      </c>
      <c r="F88" s="22" t="inlineStr">
        <is>
          <t>初期値 40/40/20</t>
        </is>
      </c>
      <c r="G88" s="23" t="inlineStr"/>
      <c r="H88" s="24" t="inlineStr"/>
      <c r="I88" s="18" t="inlineStr">
        <is>
          <t>F-DP-02 / PricingStrategyConfig</t>
        </is>
      </c>
    </row>
    <row r="89" ht="66" customHeight="1">
      <c r="A89" s="17" t="inlineStr">
        <is>
          <t>E-03</t>
        </is>
      </c>
      <c r="B89" s="18" t="inlineStr">
        <is>
          <t>価格決定</t>
        </is>
      </c>
      <c r="C89" s="19" t="inlineStr">
        <is>
          <t>重みの反映方法</t>
        </is>
      </c>
      <c r="D89" s="20" t="inlineStr">
        <is>
          <t>計算式</t>
        </is>
      </c>
      <c r="E89" s="21" t="inlineStr">
        <is>
          <t>推奨価格 = 需要ベース価格 × (w_occ + w_adr) ＋ 競合参照価格 × w_comp。需要ベース価格内では、w_occ &gt; w_adr なら弱い日の下げ幅を大きく・強い日の上げ幅を小さく、w_adr &gt; w_occ なら逆にする。</t>
        </is>
      </c>
      <c r="F89" s="22" t="inlineStr">
        <is>
          <t>—</t>
        </is>
      </c>
      <c r="G89" s="23" t="inlineStr"/>
      <c r="H89" s="24" t="inlineStr"/>
      <c r="I89" s="18" t="inlineStr">
        <is>
          <t>F-DP-02</t>
        </is>
      </c>
    </row>
    <row r="90" ht="36" customHeight="1">
      <c r="A90" s="17" t="inlineStr">
        <is>
          <t>E-04</t>
        </is>
      </c>
      <c r="B90" s="18" t="inlineStr">
        <is>
          <t>価格決定</t>
        </is>
      </c>
      <c r="C90" s="19" t="inlineStr">
        <is>
          <t>需要ベース価格</t>
        </is>
      </c>
      <c r="D90" s="20" t="inlineStr">
        <is>
          <t>計算式</t>
        </is>
      </c>
      <c r="E90" s="21" t="inlineStr">
        <is>
          <t>需要ベース価格 = その日の需要レベル・予測稼働・残在庫・リードタイムから決まる基準ランクの価格。基準ランクの算出は E-05〜E-08 に従う。</t>
        </is>
      </c>
      <c r="F90" s="22" t="inlineStr">
        <is>
          <t>—</t>
        </is>
      </c>
      <c r="G90" s="23" t="inlineStr"/>
      <c r="H90" s="24" t="inlineStr"/>
      <c r="I90" s="18" t="inlineStr">
        <is>
          <t>F-DP-01 / PriceRank</t>
        </is>
      </c>
    </row>
    <row r="91" ht="66" customHeight="1">
      <c r="A91" s="17" t="inlineStr">
        <is>
          <t>E-05</t>
        </is>
      </c>
      <c r="B91" s="18" t="inlineStr">
        <is>
          <t>価格決定</t>
        </is>
      </c>
      <c r="C91" s="19" t="inlineStr">
        <is>
          <t>基準ランクの初期マッピング</t>
        </is>
      </c>
      <c r="D91" s="20" t="inlineStr">
        <is>
          <t>計算式</t>
        </is>
      </c>
      <c r="E91" s="21" t="inlineStr">
        <is>
          <t>基準ランク = 予測稼働（制約なし）× 最大ランク数、を最低1・最大40にクリップ。ただしホテルの平均稼働で正規化する（平均稼働のときに中央ランク付近になるよう調整）。</t>
        </is>
      </c>
      <c r="F91" s="22" t="inlineStr">
        <is>
          <t>rank = clip(round(occ_norm × 40), 1, 40)</t>
        </is>
      </c>
      <c r="G91" s="23" t="inlineStr"/>
      <c r="H91" s="24" t="inlineStr"/>
      <c r="I91" s="18" t="inlineStr">
        <is>
          <t>mapOccupancyToRank</t>
        </is>
      </c>
    </row>
    <row r="92" ht="51" customHeight="1">
      <c r="A92" s="17" t="inlineStr">
        <is>
          <t>E-06</t>
        </is>
      </c>
      <c r="B92" s="18" t="inlineStr">
        <is>
          <t>価格決定</t>
        </is>
      </c>
      <c r="C92" s="19" t="inlineStr">
        <is>
          <t>残在庫による調整</t>
        </is>
      </c>
      <c r="D92" s="26" t="inlineStr">
        <is>
          <t>判定ルール</t>
        </is>
      </c>
      <c r="E92" s="21" t="inlineStr">
        <is>
          <t>残在庫率（残室 ÷ 総室）が低いほどランクを上げる。目安: 残在庫 ≤10% → +3ランク、≤20% → +2、≤30% → +1。逆に残在庫 ≥60% で残り14日以内 → −2。</t>
        </is>
      </c>
      <c r="F92" s="22" t="inlineStr">
        <is>
          <t>10/20/30% で +3/+2/+1</t>
        </is>
      </c>
      <c r="G92" s="23" t="inlineStr"/>
      <c r="H92" s="24" t="inlineStr"/>
      <c r="I92" s="18" t="inlineStr">
        <is>
          <t>F-DP-01</t>
        </is>
      </c>
    </row>
    <row r="93" ht="51" customHeight="1">
      <c r="A93" s="17" t="inlineStr">
        <is>
          <t>E-07</t>
        </is>
      </c>
      <c r="B93" s="18" t="inlineStr">
        <is>
          <t>価格決定</t>
        </is>
      </c>
      <c r="C93" s="19" t="inlineStr">
        <is>
          <t>リードタイムによる調整</t>
        </is>
      </c>
      <c r="D93" s="26" t="inlineStr">
        <is>
          <t>判定ルール</t>
        </is>
      </c>
      <c r="E93" s="21" t="inlineStr">
        <is>
          <t>同じ予測稼働でも、リードタイムが長いほど「まだ伸びる」ため強気に、短いほどOTB重視で現実的に。60日超は基準ランク+1、7日以内は残在庫ルール優先。</t>
        </is>
      </c>
      <c r="F93" s="22" t="inlineStr">
        <is>
          <t>60日超 +1</t>
        </is>
      </c>
      <c r="G93" s="23" t="inlineStr"/>
      <c r="H93" s="24" t="inlineStr"/>
      <c r="I93" s="18" t="inlineStr">
        <is>
          <t>F-DP-01</t>
        </is>
      </c>
    </row>
    <row r="94" ht="51" customHeight="1">
      <c r="A94" s="17" t="inlineStr">
        <is>
          <t>E-08</t>
        </is>
      </c>
      <c r="B94" s="18" t="inlineStr">
        <is>
          <t>価格決定</t>
        </is>
      </c>
      <c r="C94" s="19" t="inlineStr">
        <is>
          <t>最終ランクの合成</t>
        </is>
      </c>
      <c r="D94" s="20" t="inlineStr">
        <is>
          <t>計算式</t>
        </is>
      </c>
      <c r="E94" s="21" t="inlineStr">
        <is>
          <t>最終ランク = 基準ランク ＋ 残在庫調整 ＋ リードタイム調整 ＋ ペース調整 ＋ 競合調整 ＋ イベント調整、を上限・下限ランクでクリップし、変更幅制限（E-13）を適用する。各調整値を保存して説明に使う。</t>
        </is>
      </c>
      <c r="F94" s="22" t="inlineStr">
        <is>
          <t>調整値を項目別に保存</t>
        </is>
      </c>
      <c r="G94" s="23" t="inlineStr"/>
      <c r="H94" s="24" t="inlineStr"/>
      <c r="I94" s="18" t="inlineStr">
        <is>
          <t>AiPriceRecommendation.recommendedRank</t>
        </is>
      </c>
    </row>
    <row r="95" ht="51" customHeight="1">
      <c r="A95" s="17" t="inlineStr">
        <is>
          <t>E-09</t>
        </is>
      </c>
      <c r="B95" s="18" t="inlineStr">
        <is>
          <t>価格決定</t>
        </is>
      </c>
      <c r="C95" s="19" t="inlineStr">
        <is>
          <t>上限・下限ランク</t>
        </is>
      </c>
      <c r="D95" s="26" t="inlineStr">
        <is>
          <t>判定ルール</t>
        </is>
      </c>
      <c r="E95" s="21" t="inlineStr">
        <is>
          <t>ホテルごとに下限ランク（ブランド毀損防止）と上限ランク（機会損失・クレーム防止）を設定し、推奨は必ずこの範囲内。曜日・季節で上下限を変えられるようにする。</t>
        </is>
      </c>
      <c r="F95" s="22" t="inlineStr">
        <is>
          <t>下限 R05、上限 R38 を初期値</t>
        </is>
      </c>
      <c r="G95" s="23" t="inlineStr"/>
      <c r="H95" s="24" t="inlineStr"/>
      <c r="I95" s="18" t="inlineStr">
        <is>
          <t>F-SET-02 / PriceRank.isActive</t>
        </is>
      </c>
    </row>
    <row r="96" ht="51" customHeight="1">
      <c r="A96" s="17" t="inlineStr">
        <is>
          <t>E-10</t>
        </is>
      </c>
      <c r="B96" s="18" t="inlineStr">
        <is>
          <t>価格決定</t>
        </is>
      </c>
      <c r="C96" s="19" t="inlineStr">
        <is>
          <t>競合参照価格</t>
        </is>
      </c>
      <c r="D96" s="20" t="inlineStr">
        <is>
          <t>計算式</t>
        </is>
      </c>
      <c r="E96" s="21" t="inlineStr">
        <is>
          <t>競合参照価格 = コンプセット価格の中央値（平均ではなく中央値。1社の極端値に引かれない）× 自館のポジション係数。ポジション係数は過去のARI実績から（自館が市場より10%高く売れていれば1.10）。</t>
        </is>
      </c>
      <c r="F96" s="22" t="inlineStr">
        <is>
          <t>中央値 × ポジション係数</t>
        </is>
      </c>
      <c r="G96" s="23" t="inlineStr"/>
      <c r="H96" s="24" t="inlineStr"/>
      <c r="I96" s="18" t="inlineStr">
        <is>
          <t>F-DP-06（「平均」表現を使わない）</t>
        </is>
      </c>
    </row>
    <row r="97" ht="51" customHeight="1">
      <c r="A97" s="17" t="inlineStr">
        <is>
          <t>E-11</t>
        </is>
      </c>
      <c r="B97" s="18" t="inlineStr">
        <is>
          <t>価格決定</t>
        </is>
      </c>
      <c r="C97" s="19" t="inlineStr">
        <is>
          <t>競合追従の非対称</t>
        </is>
      </c>
      <c r="D97" s="26" t="inlineStr">
        <is>
          <t>判定ルール</t>
        </is>
      </c>
      <c r="E97" s="21" t="inlineStr">
        <is>
          <t>競合が値上げ → 追従は早く（需要が強いシグナル）。競合が値下げ → 自館の需要レベルがC以上なら追従しない。追従度20%は「参照度」であり、値下げ合戦への自動参加ではない。</t>
        </is>
      </c>
      <c r="F97" s="22" t="inlineStr">
        <is>
          <t>値下げ追従は需要D以下のみ</t>
        </is>
      </c>
      <c r="G97" s="23" t="inlineStr"/>
      <c r="H97" s="24" t="inlineStr"/>
      <c r="I97" s="18" t="inlineStr">
        <is>
          <t>F-DP-02 / F-DP-06</t>
        </is>
      </c>
    </row>
    <row r="98" ht="36" customHeight="1">
      <c r="A98" s="17" t="inlineStr">
        <is>
          <t>E-12</t>
        </is>
      </c>
      <c r="B98" s="18" t="inlineStr">
        <is>
          <t>価格決定</t>
        </is>
      </c>
      <c r="C98" s="19" t="inlineStr">
        <is>
          <t>競合売止めのシグナル</t>
        </is>
      </c>
      <c r="D98" s="26" t="inlineStr">
        <is>
          <t>判定ルール</t>
        </is>
      </c>
      <c r="E98" s="21" t="inlineStr">
        <is>
          <t>コンプセットの半数以上が売止め（満室）なら、自館の推奨ランクを+2し、需要レベルを1段上げる。市場在庫が消えた日は自館に流入する。</t>
        </is>
      </c>
      <c r="F98" s="22" t="inlineStr">
        <is>
          <t>半数以上売止め → +2</t>
        </is>
      </c>
      <c r="G98" s="23" t="inlineStr"/>
      <c r="H98" s="24" t="inlineStr"/>
      <c r="I98" s="18" t="inlineStr">
        <is>
          <t>CompetitorPriceData（soldout）</t>
        </is>
      </c>
    </row>
    <row r="99" ht="36" customHeight="1">
      <c r="A99" s="17" t="inlineStr">
        <is>
          <t>E-13</t>
        </is>
      </c>
      <c r="B99" s="18" t="inlineStr">
        <is>
          <t>価格決定</t>
        </is>
      </c>
      <c r="C99" s="19" t="inlineStr">
        <is>
          <t>1日あたりの変更幅制限</t>
        </is>
      </c>
      <c r="D99" s="26" t="inlineStr">
        <is>
          <t>判定ルール</t>
        </is>
      </c>
      <c r="E99" s="21" t="inlineStr">
        <is>
          <t>推奨ランクの1日の変更は ±3ランク以内（確信度が低い日は ±1）。大きな変更が必要なら数日に分けて段階的に動かし、都度売れ行きを確認する。</t>
        </is>
      </c>
      <c r="F99" s="22" t="inlineStr">
        <is>
          <t>±3（低確信度 ±1）</t>
        </is>
      </c>
      <c r="G99" s="23" t="inlineStr"/>
      <c r="H99" s="24" t="inlineStr"/>
      <c r="I99" s="18" t="inlineStr">
        <is>
          <t>F-DP-01</t>
        </is>
      </c>
    </row>
    <row r="100" ht="36" customHeight="1">
      <c r="A100" s="17" t="inlineStr">
        <is>
          <t>E-14</t>
        </is>
      </c>
      <c r="B100" s="18" t="inlineStr">
        <is>
          <t>価格決定</t>
        </is>
      </c>
      <c r="C100" s="19" t="inlineStr">
        <is>
          <t>上げと下げの非対称</t>
        </is>
      </c>
      <c r="D100" s="26" t="inlineStr">
        <is>
          <t>判定ルール</t>
        </is>
      </c>
      <c r="E100" s="21" t="inlineStr">
        <is>
          <t>値上げは小刻みに何度でも（+1〜2ランク/日）。値下げは慎重に（−1ランク/日を上限、理由必須）。下げは戻しにくく、ゲストの学習効果があるため。</t>
        </is>
      </c>
      <c r="F100" s="22" t="inlineStr">
        <is>
          <t>上げ +2/日、下げ −1/日</t>
        </is>
      </c>
      <c r="G100" s="23" t="inlineStr"/>
      <c r="H100" s="24" t="inlineStr"/>
      <c r="I100" s="18" t="inlineStr">
        <is>
          <t>F-DP-01</t>
        </is>
      </c>
    </row>
    <row r="101" ht="36" customHeight="1">
      <c r="A101" s="17" t="inlineStr">
        <is>
          <t>E-15</t>
        </is>
      </c>
      <c r="B101" s="18" t="inlineStr">
        <is>
          <t>価格決定</t>
        </is>
      </c>
      <c r="C101" s="19" t="inlineStr">
        <is>
          <t>最小変更単位</t>
        </is>
      </c>
      <c r="D101" s="26" t="inlineStr">
        <is>
          <t>判定ルール</t>
        </is>
      </c>
      <c r="E101" s="21" t="inlineStr">
        <is>
          <t>価格差が1ランク分（数百円）しかない変更は推奨として出さない（変更コスト＞効果）。表示上は「維持」とし、2ランク以上動くときに推奨変更とする。</t>
        </is>
      </c>
      <c r="F101" s="22" t="inlineStr">
        <is>
          <t>変更推奨は ≥2ランク差</t>
        </is>
      </c>
      <c r="G101" s="23" t="inlineStr"/>
      <c r="H101" s="24" t="inlineStr"/>
      <c r="I101" s="18" t="inlineStr">
        <is>
          <t>F-DP-01</t>
        </is>
      </c>
    </row>
    <row r="102" ht="51" customHeight="1">
      <c r="A102" s="17" t="inlineStr">
        <is>
          <t>E-16</t>
        </is>
      </c>
      <c r="B102" s="18" t="inlineStr">
        <is>
          <t>価格決定</t>
        </is>
      </c>
      <c r="C102" s="19" t="inlineStr">
        <is>
          <t>繁忙日の段階値上げ</t>
        </is>
      </c>
      <c r="D102" s="29" t="inlineStr">
        <is>
          <t>アクション</t>
        </is>
      </c>
      <c r="E102" s="21" t="inlineStr">
        <is>
          <t>需要レベルA/Bの日は、OTBが目標カーブの節目（例: 50%・70%・85%）を超えるごとに+1〜2ランク上げる。一度に上限まで上げず、売れ行きで確認しながら上げる。</t>
        </is>
      </c>
      <c r="F102" s="22" t="inlineStr">
        <is>
          <t>節目 50/70/85%</t>
        </is>
      </c>
      <c r="G102" s="23" t="inlineStr"/>
      <c r="H102" s="24" t="inlineStr"/>
      <c r="I102" s="18" t="inlineStr">
        <is>
          <t>F-DP-01 / F-DAILY-01</t>
        </is>
      </c>
    </row>
    <row r="103" ht="51" customHeight="1">
      <c r="A103" s="17" t="inlineStr">
        <is>
          <t>E-17</t>
        </is>
      </c>
      <c r="B103" s="18" t="inlineStr">
        <is>
          <t>価格決定</t>
        </is>
      </c>
      <c r="C103" s="19" t="inlineStr">
        <is>
          <t>最終在庫の価値（Last Room Value）</t>
        </is>
      </c>
      <c r="D103" s="26" t="inlineStr">
        <is>
          <t>判定ルール</t>
        </is>
      </c>
      <c r="E103" s="21" t="inlineStr">
        <is>
          <t>残り数室（残在庫 ≤5%）は最も価値が高い在庫。上限ランク付近を維持し、直前でも下げない。「空室で終わるより安く売る」は、残室が10%以上あるときの判断。</t>
        </is>
      </c>
      <c r="F103" s="22" t="inlineStr">
        <is>
          <t>残 ≤5% は上限維持</t>
        </is>
      </c>
      <c r="G103" s="23" t="inlineStr"/>
      <c r="H103" s="24" t="inlineStr"/>
      <c r="I103" s="18" t="inlineStr">
        <is>
          <t>F-DP-01</t>
        </is>
      </c>
    </row>
    <row r="104" ht="51" customHeight="1">
      <c r="A104" s="17" t="inlineStr">
        <is>
          <t>E-18</t>
        </is>
      </c>
      <c r="B104" s="18" t="inlineStr">
        <is>
          <t>価格決定</t>
        </is>
      </c>
      <c r="C104" s="19" t="inlineStr">
        <is>
          <t>閑散日の下げ順序</t>
        </is>
      </c>
      <c r="D104" s="29" t="inlineStr">
        <is>
          <t>アクション</t>
        </is>
      </c>
      <c r="E104" s="21" t="inlineStr">
        <is>
          <t>需要レベルD/Eの日は、価格を下げる前に①露出（OTA掲載順位・写真・プラン名）②条件（早割・連泊・朝食付き）③チャネル追加 を提案し、それでもピックアップが改善しなければ値下げ。推奨文にこの順序を示す。</t>
        </is>
      </c>
      <c r="F104" s="22" t="inlineStr">
        <is>
          <t>露出→条件→価格</t>
        </is>
      </c>
      <c r="G104" s="23" t="inlineStr"/>
      <c r="H104" s="24" t="inlineStr"/>
      <c r="I104" s="18" t="inlineStr">
        <is>
          <t>F-DP-01 / F-DASH-06</t>
        </is>
      </c>
    </row>
    <row r="105" ht="36" customHeight="1">
      <c r="A105" s="17" t="inlineStr">
        <is>
          <t>E-19</t>
        </is>
      </c>
      <c r="B105" s="18" t="inlineStr">
        <is>
          <t>価格決定</t>
        </is>
      </c>
      <c r="C105" s="19" t="inlineStr">
        <is>
          <t>直前値下げの制限</t>
        </is>
      </c>
      <c r="D105" s="26" t="inlineStr">
        <is>
          <t>判定ルール</t>
        </is>
      </c>
      <c r="E105" s="21" t="inlineStr">
        <is>
          <t>宿泊3日前以内の値下げは、残在庫が20%以上ある場合のみ、かつ−2ランク以内。常態化を防ぐため、月内の直前値下げ回数をアラートで可視化する。</t>
        </is>
      </c>
      <c r="F105" s="22" t="inlineStr">
        <is>
          <t>3日前以内: 残≥20%・−2以内</t>
        </is>
      </c>
      <c r="G105" s="23" t="inlineStr"/>
      <c r="H105" s="24" t="inlineStr"/>
      <c r="I105" s="18" t="inlineStr">
        <is>
          <t>N（アラート）</t>
        </is>
      </c>
    </row>
    <row r="106" ht="51" customHeight="1">
      <c r="A106" s="17" t="inlineStr">
        <is>
          <t>E-20</t>
        </is>
      </c>
      <c r="B106" s="18" t="inlineStr">
        <is>
          <t>価格決定</t>
        </is>
      </c>
      <c r="C106" s="19" t="inlineStr">
        <is>
          <t>価格弾力性の推定</t>
        </is>
      </c>
      <c r="D106" s="20" t="inlineStr">
        <is>
          <t>計算式</t>
        </is>
      </c>
      <c r="E106" s="21" t="inlineStr">
        <is>
          <t>弾力性 = ピックアップ変化率 ÷ 価格変化率（同リードタイム・同需要レベルの過去事例から）。|弾力性| &gt; 1 なら値下げで売上増、&lt; 1 なら値上げで売上増。曜日・季節・セグメント別に持つ。</t>
        </is>
      </c>
      <c r="F106" s="22" t="inlineStr">
        <is>
          <t>初期仮定 −0.8（都市型平日）、−1.3（レジャー週末）</t>
        </is>
      </c>
      <c r="G106" s="23" t="inlineStr"/>
      <c r="H106" s="24" t="inlineStr"/>
      <c r="I106" s="18" t="inlineStr">
        <is>
          <t>F-DP-05（学習）</t>
        </is>
      </c>
    </row>
    <row r="107" ht="51" customHeight="1">
      <c r="A107" s="17" t="inlineStr">
        <is>
          <t>E-21</t>
        </is>
      </c>
      <c r="B107" s="18" t="inlineStr">
        <is>
          <t>価格決定</t>
        </is>
      </c>
      <c r="C107" s="19" t="inlineStr">
        <is>
          <t>弾力性を使った推奨</t>
        </is>
      </c>
      <c r="D107" s="26" t="inlineStr">
        <is>
          <t>判定ルール</t>
        </is>
      </c>
      <c r="E107" s="21" t="inlineStr">
        <is>
          <t>|弾力性| &lt; 1 の日（需要が価格に鈍感）では、レベルC以下でも値下げ推奨を出さず維持または微増。弾力性の高い日で在庫過多のときだけ値下げが売上に効く。</t>
        </is>
      </c>
      <c r="F107" s="22" t="inlineStr">
        <is>
          <t>—</t>
        </is>
      </c>
      <c r="G107" s="23" t="inlineStr"/>
      <c r="H107" s="24" t="inlineStr"/>
      <c r="I107" s="18" t="inlineStr">
        <is>
          <t>F-DP-01</t>
        </is>
      </c>
    </row>
    <row r="108" ht="51" customHeight="1">
      <c r="A108" s="17" t="inlineStr">
        <is>
          <t>E-22</t>
        </is>
      </c>
      <c r="B108" s="18" t="inlineStr">
        <is>
          <t>価格決定</t>
        </is>
      </c>
      <c r="C108" s="19" t="inlineStr">
        <is>
          <t>曜日別ベース価格</t>
        </is>
      </c>
      <c r="D108" s="26" t="inlineStr">
        <is>
          <t>判定ルール</t>
        </is>
      </c>
      <c r="E108" s="21" t="inlineStr">
        <is>
          <t>曜日ごとの基準ランクを持つ（例: 金土 = 中央+4、日 = 中央−3、月〜木 = 中央）。需要予測はこのベースからの差分として働く。曜日ベースがないと毎日ゼロから計算して不安定になる。</t>
        </is>
      </c>
      <c r="F108" s="22" t="inlineStr">
        <is>
          <t>曜日ベースランク表</t>
        </is>
      </c>
      <c r="G108" s="23" t="inlineStr"/>
      <c r="H108" s="24" t="inlineStr"/>
      <c r="I108" s="18" t="inlineStr">
        <is>
          <t>F-SET-02 / Hotel.weekendDays</t>
        </is>
      </c>
    </row>
    <row r="109" ht="66" customHeight="1">
      <c r="A109" s="17" t="inlineStr">
        <is>
          <t>E-23</t>
        </is>
      </c>
      <c r="B109" s="18" t="inlineStr">
        <is>
          <t>価格決定</t>
        </is>
      </c>
      <c r="C109" s="19" t="inlineStr">
        <is>
          <t>価格の心理的節目</t>
        </is>
      </c>
      <c r="D109" s="27" t="inlineStr">
        <is>
          <t>注意</t>
        </is>
      </c>
      <c r="E109" s="21" t="inlineStr">
        <is>
          <t>ランク表の価格は節目（10,000円、15,000円、20,000円）を跨ぐときに予約率が段差的に落ちる。節目直下（9,800／14,800）にランクを置き、節目直上のランクは避けるか幅を広げる。高級帯はキリの良い価格が好まれる。</t>
        </is>
      </c>
      <c r="F109" s="22" t="inlineStr">
        <is>
          <t>節目直下にランク配置</t>
        </is>
      </c>
      <c r="G109" s="23" t="inlineStr"/>
      <c r="H109" s="24" t="inlineStr"/>
      <c r="I109" s="18" t="inlineStr">
        <is>
          <t>F-SET-02 / PriceRank</t>
        </is>
      </c>
    </row>
    <row r="110" ht="51" customHeight="1">
      <c r="A110" s="17" t="inlineStr">
        <is>
          <t>E-24</t>
        </is>
      </c>
      <c r="B110" s="18" t="inlineStr">
        <is>
          <t>価格決定</t>
        </is>
      </c>
      <c r="C110" s="19" t="inlineStr">
        <is>
          <t>人数別価格の整合</t>
        </is>
      </c>
      <c r="D110" s="26" t="inlineStr">
        <is>
          <t>判定ルール</t>
        </is>
      </c>
      <c r="E110" s="21" t="inlineStr">
        <is>
          <t>同一ランク内で 1P &lt; 2P &lt; 3P &lt; 4P、かつ1人あたり単価は人数が増えるほど下がる（2P ÷ 2 &lt; 1P）。逆転があると2名客が1名×2で予約する等の抜け道が生まれる。</t>
        </is>
      </c>
      <c r="F110" s="22" t="inlineStr">
        <is>
          <t>2P/2 ≤ 0.85 × 1P</t>
        </is>
      </c>
      <c r="G110" s="23" t="inlineStr"/>
      <c r="H110" s="24" t="inlineStr"/>
      <c r="I110" s="18" t="inlineStr">
        <is>
          <t>PriceRank.price1P〜4P</t>
        </is>
      </c>
    </row>
    <row r="111" ht="36" customHeight="1">
      <c r="A111" s="17" t="inlineStr">
        <is>
          <t>E-25</t>
        </is>
      </c>
      <c r="B111" s="18" t="inlineStr">
        <is>
          <t>価格決定</t>
        </is>
      </c>
      <c r="C111" s="19" t="inlineStr">
        <is>
          <t>部屋タイプ間の価格差</t>
        </is>
      </c>
      <c r="D111" s="26" t="inlineStr">
        <is>
          <t>判定ルール</t>
        </is>
      </c>
      <c r="E111" s="21" t="inlineStr">
        <is>
          <t>上位タイプとの価格差は需要に応じて可変にする。繁忙日は差を縮めて上位タイプへ誘導（アップセル）、閑散日は差を広げて下位タイプの値ごろ感を出す。</t>
        </is>
      </c>
      <c r="F111" s="22" t="inlineStr">
        <is>
          <t>繁忙日: 差 −20%</t>
        </is>
      </c>
      <c r="G111" s="23" t="inlineStr"/>
      <c r="H111" s="24" t="inlineStr"/>
      <c r="I111" s="18" t="inlineStr">
        <is>
          <t>RoomType / DailyRoomData</t>
        </is>
      </c>
    </row>
    <row r="112" ht="51" customHeight="1">
      <c r="A112" s="17" t="inlineStr">
        <is>
          <t>E-26</t>
        </is>
      </c>
      <c r="B112" s="18" t="inlineStr">
        <is>
          <t>価格決定</t>
        </is>
      </c>
      <c r="C112" s="19" t="inlineStr">
        <is>
          <t>プラン別の価格差</t>
        </is>
      </c>
      <c r="D112" s="26" t="inlineStr">
        <is>
          <t>判定ルール</t>
        </is>
      </c>
      <c r="E112" s="21" t="inlineStr">
        <is>
          <t>返金不可は返金可の −8〜12%、早割（30日前）は −10〜15%、朝食付きは原価 + 適正利益。差が大きすぎると全員が安い方に流れ、小さすぎると条件の意味がない。</t>
        </is>
      </c>
      <c r="F112" s="22" t="inlineStr">
        <is>
          <t>返金不可 −10%、早割 −12%</t>
        </is>
      </c>
      <c r="G112" s="23" t="inlineStr"/>
      <c r="H112" s="24" t="inlineStr"/>
      <c r="I112" s="18" t="inlineStr">
        <is>
          <t>Campaign</t>
        </is>
      </c>
    </row>
    <row r="113" ht="51" customHeight="1">
      <c r="A113" s="17" t="inlineStr">
        <is>
          <t>E-27</t>
        </is>
      </c>
      <c r="B113" s="18" t="inlineStr">
        <is>
          <t>価格決定</t>
        </is>
      </c>
      <c r="C113" s="19" t="inlineStr">
        <is>
          <t>AI推奨と手動の関係</t>
        </is>
      </c>
      <c r="D113" s="26" t="inlineStr">
        <is>
          <t>判定ルール</t>
        </is>
      </c>
      <c r="E113" s="21" t="inlineStr">
        <is>
          <t>手動で価格を変更した日は、AI推奨を上書きした事実・理由・差分を記録し、着地後に「AI推奨に従った場合との差」を検証する。リセット（F-DP-03）でAI値に戻せる。</t>
        </is>
      </c>
      <c r="F113" s="22" t="inlineStr">
        <is>
          <t>上書き記録必須</t>
        </is>
      </c>
      <c r="G113" s="23" t="inlineStr"/>
      <c r="H113" s="24" t="inlineStr"/>
      <c r="I113" s="18" t="inlineStr">
        <is>
          <t>F-DP-03 / AuditLog</t>
        </is>
      </c>
    </row>
    <row r="114" ht="36" customHeight="1">
      <c r="A114" s="17" t="inlineStr">
        <is>
          <t>E-28</t>
        </is>
      </c>
      <c r="B114" s="18" t="inlineStr">
        <is>
          <t>価格決定</t>
        </is>
      </c>
      <c r="C114" s="19" t="inlineStr">
        <is>
          <t>推奨の有効期限</t>
        </is>
      </c>
      <c r="D114" s="27" t="inlineStr">
        <is>
          <t>注意</t>
        </is>
      </c>
      <c r="E114" s="21" t="inlineStr">
        <is>
          <t>推奨価格は算出時刻を持ち、24時間以上更新されていない推奨は「要再計算」として表示する。古い推奨に従うのは無推奨より悪い。</t>
        </is>
      </c>
      <c r="F114" s="22" t="inlineStr">
        <is>
          <t>24時間</t>
        </is>
      </c>
      <c r="G114" s="23" t="inlineStr"/>
      <c r="H114" s="24" t="inlineStr"/>
      <c r="I114" s="18" t="inlineStr">
        <is>
          <t>AiPriceRecommendation.computedAt</t>
        </is>
      </c>
    </row>
    <row r="115" ht="51" customHeight="1">
      <c r="A115" s="17" t="inlineStr">
        <is>
          <t>E-29</t>
        </is>
      </c>
      <c r="B115" s="18" t="inlineStr">
        <is>
          <t>価格決定</t>
        </is>
      </c>
      <c r="C115" s="19" t="inlineStr">
        <is>
          <t>推奨の根拠表示</t>
        </is>
      </c>
      <c r="D115" s="28" t="inlineStr">
        <is>
          <t>説明ルール</t>
        </is>
      </c>
      <c r="E115" s="21" t="inlineStr">
        <is>
          <t>推奨ランクには必ず内訳を添える: 基準ランク（予測稼働）、残在庫調整、ペース調整、競合調整、イベント調整、変更幅制限の有無。数値付きで1〜2行に収める。</t>
        </is>
      </c>
      <c r="F115" s="22" t="inlineStr">
        <is>
          <t>—</t>
        </is>
      </c>
      <c r="G115" s="23" t="inlineStr"/>
      <c r="H115" s="24" t="inlineStr"/>
      <c r="I115" s="18" t="inlineStr">
        <is>
          <t>F-DP-01 / F-DASH-06</t>
        </is>
      </c>
    </row>
    <row r="116" ht="51" customHeight="1">
      <c r="A116" s="17" t="inlineStr">
        <is>
          <t>E-30</t>
        </is>
      </c>
      <c r="B116" s="18" t="inlineStr">
        <is>
          <t>価格決定</t>
        </is>
      </c>
      <c r="C116" s="19" t="inlineStr">
        <is>
          <t>価格変更のログと検証</t>
        </is>
      </c>
      <c r="D116" s="27" t="inlineStr">
        <is>
          <t>注意</t>
        </is>
      </c>
      <c r="E116" s="21" t="inlineStr">
        <is>
          <t>全ての価格変更（AI・手動）を宿泊日・変更日時・前後価格・理由・その時点のOTBとともに記録する。月次で「変更後7日のピックアップ変化」を集計し、ルールの効果を検証する。</t>
        </is>
      </c>
      <c r="F116" s="22" t="inlineStr">
        <is>
          <t>—</t>
        </is>
      </c>
      <c r="G116" s="23" t="inlineStr"/>
      <c r="H116" s="24" t="inlineStr"/>
      <c r="I116" s="18" t="inlineStr">
        <is>
          <t>AuditLog / AiPriceRecommendation</t>
        </is>
      </c>
    </row>
    <row r="117" ht="36" customHeight="1">
      <c r="A117" s="17" t="inlineStr">
        <is>
          <t>E-31</t>
        </is>
      </c>
      <c r="B117" s="18" t="inlineStr">
        <is>
          <t>価格決定</t>
        </is>
      </c>
      <c r="C117" s="19" t="inlineStr">
        <is>
          <t>変更頻度の上限</t>
        </is>
      </c>
      <c r="D117" s="26" t="inlineStr">
        <is>
          <t>判定ルール</t>
        </is>
      </c>
      <c r="E117" s="21" t="inlineStr">
        <is>
          <t>同一宿泊日の価格変更は1日1回を基本とし、直前7日のみ2回まで。頻繁な変更はチャネル反映遅延・レートパリティ崩れ・ゲスト不信を招く。</t>
        </is>
      </c>
      <c r="F117" s="22" t="inlineStr">
        <is>
          <t>1回/日、直前7日は2回</t>
        </is>
      </c>
      <c r="G117" s="23" t="inlineStr"/>
      <c r="H117" s="24" t="inlineStr"/>
      <c r="I117" s="18" t="inlineStr">
        <is>
          <t>F-DP-01</t>
        </is>
      </c>
    </row>
    <row r="118" ht="36" customHeight="1">
      <c r="A118" s="17" t="inlineStr">
        <is>
          <t>E-32</t>
        </is>
      </c>
      <c r="B118" s="18" t="inlineStr">
        <is>
          <t>価格決定</t>
        </is>
      </c>
      <c r="C118" s="19" t="inlineStr">
        <is>
          <t>凍結日（Blackout）</t>
        </is>
      </c>
      <c r="D118" s="26" t="inlineStr">
        <is>
          <t>判定ルール</t>
        </is>
      </c>
      <c r="E118" s="21" t="inlineStr">
        <is>
          <t>契約上価格を動かせない日（法人固定料金・団体確定・パッケージ販売）は凍結フラグを持ち、推奨は出すが「変更不可」を明示する。</t>
        </is>
      </c>
      <c r="F118" s="22" t="inlineStr">
        <is>
          <t>frozen フラグ</t>
        </is>
      </c>
      <c r="G118" s="23" t="inlineStr"/>
      <c r="H118" s="24" t="inlineStr"/>
      <c r="I118" s="18" t="inlineStr">
        <is>
          <t>F-DP-01（拡張）</t>
        </is>
      </c>
    </row>
    <row r="119" ht="36" customHeight="1">
      <c r="A119" s="17" t="inlineStr">
        <is>
          <t>E-33</t>
        </is>
      </c>
      <c r="B119" s="18" t="inlineStr">
        <is>
          <t>価格決定</t>
        </is>
      </c>
      <c r="C119" s="19" t="inlineStr">
        <is>
          <t>長期滞在・連泊の価格</t>
        </is>
      </c>
      <c r="D119" s="26" t="inlineStr">
        <is>
          <t>判定ルール</t>
        </is>
      </c>
      <c r="E119" s="21" t="inlineStr">
        <is>
          <t>連泊は1泊ごとの日別価格の合算を基本とし、閑散日を含む連泊に限り割引率を設定する。繁忙日だけを含む連泊に割引は不要。</t>
        </is>
      </c>
      <c r="F119" s="22" t="inlineStr">
        <is>
          <t>閑散日含む連泊のみ割引</t>
        </is>
      </c>
      <c r="G119" s="23" t="inlineStr"/>
      <c r="H119" s="24" t="inlineStr"/>
      <c r="I119" s="18" t="inlineStr">
        <is>
          <t>Campaign</t>
        </is>
      </c>
    </row>
    <row r="120" ht="36" customHeight="1">
      <c r="A120" s="17" t="inlineStr">
        <is>
          <t>E-34</t>
        </is>
      </c>
      <c r="B120" s="18" t="inlineStr">
        <is>
          <t>価格決定</t>
        </is>
      </c>
      <c r="C120" s="19" t="inlineStr">
        <is>
          <t>価格の下限根拠</t>
        </is>
      </c>
      <c r="D120" s="20" t="inlineStr">
        <is>
          <t>計算式</t>
        </is>
      </c>
      <c r="E120" s="21" t="inlineStr">
        <is>
          <t>下限価格 ≥ 変動費（清掃・アメニティ・リネン・OTA手数料）÷ (1 − 目標変動費率)。変動費を割る価格は稼働を上げても利益を減らす。</t>
        </is>
      </c>
      <c r="F120" s="22" t="inlineStr">
        <is>
          <t>変動費の1.5倍を下限目安</t>
        </is>
      </c>
      <c r="G120" s="23" t="inlineStr"/>
      <c r="H120" s="24" t="inlineStr"/>
      <c r="I120" s="18" t="inlineStr">
        <is>
          <t>F-SET-02</t>
        </is>
      </c>
    </row>
    <row r="121" ht="51" customHeight="1">
      <c r="A121" s="17" t="inlineStr">
        <is>
          <t>E-35</t>
        </is>
      </c>
      <c r="B121" s="18" t="inlineStr">
        <is>
          <t>価格決定</t>
        </is>
      </c>
      <c r="C121" s="19" t="inlineStr">
        <is>
          <t>価格の上限根拠</t>
        </is>
      </c>
      <c r="D121" s="20" t="inlineStr">
        <is>
          <t>計算式</t>
        </is>
      </c>
      <c r="E121" s="21" t="inlineStr">
        <is>
          <t>上限価格 = 過去に実際に売れた最高ADR × 1.2、またはコンプセット最高値 × 1.1 のいずれか低い方を初期上限とし、実績に応じて更新。売れたことのない価格帯は徐々に試す。</t>
        </is>
      </c>
      <c r="F121" s="22" t="inlineStr">
        <is>
          <t>実績最高 × 1.2</t>
        </is>
      </c>
      <c r="G121" s="23" t="inlineStr"/>
      <c r="H121" s="24" t="inlineStr"/>
      <c r="I121" s="18" t="inlineStr">
        <is>
          <t>F-SET-02</t>
        </is>
      </c>
    </row>
    <row r="122" ht="36" customHeight="1">
      <c r="A122" s="17" t="inlineStr">
        <is>
          <t>E-36</t>
        </is>
      </c>
      <c r="B122" s="18" t="inlineStr">
        <is>
          <t>価格決定</t>
        </is>
      </c>
      <c r="C122" s="19" t="inlineStr">
        <is>
          <t>実験（A/B）の考え方</t>
        </is>
      </c>
      <c r="D122" s="27" t="inlineStr">
        <is>
          <t>注意</t>
        </is>
      </c>
      <c r="E122" s="21" t="inlineStr">
        <is>
          <t>新しい価格ルールは、同条件の日を2群に分けて比較するか、導入前後の同曜日比較で効果を測る。全日に一斉適用して「良くなった気がする」で終わらせない。</t>
        </is>
      </c>
      <c r="F122" s="22" t="inlineStr">
        <is>
          <t>—</t>
        </is>
      </c>
      <c r="G122" s="23" t="inlineStr"/>
      <c r="H122" s="24" t="inlineStr"/>
      <c r="I122" s="18" t="inlineStr">
        <is>
          <t>F-DP-05</t>
        </is>
      </c>
    </row>
    <row r="123" ht="36" customHeight="1">
      <c r="A123" s="17" t="inlineStr">
        <is>
          <t>E-37</t>
        </is>
      </c>
      <c r="B123" s="18" t="inlineStr">
        <is>
          <t>価格決定</t>
        </is>
      </c>
      <c r="C123" s="19" t="inlineStr">
        <is>
          <t>推奨の粒度</t>
        </is>
      </c>
      <c r="D123" s="25" t="inlineStr">
        <is>
          <t>定義</t>
        </is>
      </c>
      <c r="E123" s="21" t="inlineStr">
        <is>
          <t>推奨は「ホテル全体（代表部屋タイプ）」を基本に、部屋タイプ別推奨を追加する。部屋タイプ別データが無い間は全体推奨＋タイプ別差額ルールで運用する。</t>
        </is>
      </c>
      <c r="F123" s="22" t="inlineStr">
        <is>
          <t>roomTypeId = null が全体</t>
        </is>
      </c>
      <c r="G123" s="23" t="inlineStr"/>
      <c r="H123" s="24" t="inlineStr"/>
      <c r="I123" s="18" t="inlineStr">
        <is>
          <t>AiPriceRecommendation.roomTypeId</t>
        </is>
      </c>
    </row>
    <row r="124" ht="36" customHeight="1">
      <c r="A124" s="17" t="inlineStr">
        <is>
          <t>E-38</t>
        </is>
      </c>
      <c r="B124" s="18" t="inlineStr">
        <is>
          <t>価格決定</t>
        </is>
      </c>
      <c r="C124" s="19" t="inlineStr">
        <is>
          <t>需要レベルと価格の整合チェック</t>
        </is>
      </c>
      <c r="D124" s="26" t="inlineStr">
        <is>
          <t>判定ルール</t>
        </is>
      </c>
      <c r="E124" s="21" t="inlineStr">
        <is>
          <t>需要レベルAで前日比値下げ、Eで値上げのような矛盾推奨は出力前に検出し、理由（凍結・上限・手動）を添えるか抑止する。</t>
        </is>
      </c>
      <c r="F124" s="22" t="inlineStr">
        <is>
          <t>矛盾検出ルール</t>
        </is>
      </c>
      <c r="G124" s="23" t="inlineStr"/>
      <c r="H124" s="24" t="inlineStr"/>
      <c r="I124" s="18" t="inlineStr">
        <is>
          <t>F-DP-01</t>
        </is>
      </c>
    </row>
    <row r="125" ht="36" customHeight="1">
      <c r="A125" s="17" t="inlineStr">
        <is>
          <t>E-39</t>
        </is>
      </c>
      <c r="B125" s="18" t="inlineStr">
        <is>
          <t>価格決定</t>
        </is>
      </c>
      <c r="C125" s="19" t="inlineStr">
        <is>
          <t>推奨の受容率</t>
        </is>
      </c>
      <c r="D125" s="20" t="inlineStr">
        <is>
          <t>計算式</t>
        </is>
      </c>
      <c r="E125" s="21" t="inlineStr">
        <is>
          <t>受容率 = AI推奨どおりに設定された日数 ÷ 推奨日数。受容率が低い期間は推奨の妥当性か説明の不足を疑い、上書き理由を分析する。</t>
        </is>
      </c>
      <c r="F125" s="22" t="inlineStr">
        <is>
          <t>目標 ≥70%</t>
        </is>
      </c>
      <c r="G125" s="23" t="inlineStr"/>
      <c r="H125" s="24" t="inlineStr"/>
      <c r="I125" s="18" t="inlineStr">
        <is>
          <t>F-DP-03 / AuditLog</t>
        </is>
      </c>
    </row>
    <row r="126" ht="22" customHeight="1">
      <c r="A126" s="16" t="inlineStr">
        <is>
          <t>F　料金ランク運用　　（関連: F-SET-02 / PriceRank（40段階・1P/2P/3P/4P））</t>
        </is>
      </c>
    </row>
    <row r="127" ht="51" customHeight="1">
      <c r="A127" s="17" t="inlineStr">
        <is>
          <t>F-01</t>
        </is>
      </c>
      <c r="B127" s="18" t="inlineStr">
        <is>
          <t>料金ランク運用</t>
        </is>
      </c>
      <c r="C127" s="19" t="inlineStr">
        <is>
          <t>ランク表の構造</t>
        </is>
      </c>
      <c r="D127" s="25" t="inlineStr">
        <is>
          <t>定義</t>
        </is>
      </c>
      <c r="E127" s="21" t="inlineStr">
        <is>
          <t>40段階のランク（R01〜R40）ごとに 1P/2P/3P/4P の価格を持つマスタ。価格を直接動かすのではなくランクを動かすことで、判断の速さと一貫性、記録性を得る。</t>
        </is>
      </c>
      <c r="F127" s="22" t="inlineStr">
        <is>
          <t>40段階</t>
        </is>
      </c>
      <c r="G127" s="23" t="inlineStr"/>
      <c r="H127" s="24" t="inlineStr"/>
      <c r="I127" s="18" t="inlineStr">
        <is>
          <t>F-SET-02 / PriceRank</t>
        </is>
      </c>
    </row>
    <row r="128" ht="36" customHeight="1">
      <c r="A128" s="17" t="inlineStr">
        <is>
          <t>F-02</t>
        </is>
      </c>
      <c r="B128" s="18" t="inlineStr">
        <is>
          <t>料金ランク運用</t>
        </is>
      </c>
      <c r="C128" s="19" t="inlineStr">
        <is>
          <t>刻み幅の設計</t>
        </is>
      </c>
      <c r="D128" s="26" t="inlineStr">
        <is>
          <t>判定ルール</t>
        </is>
      </c>
      <c r="E128" s="21" t="inlineStr">
        <is>
          <t>隣接ランクの価格差は基準価格の3〜5%を目安に。等差ではなく等比（下位は数百円、上位は千円超）にすると、上位帯でも1段の変更が意味を持つ。</t>
        </is>
      </c>
      <c r="F128" s="22" t="inlineStr">
        <is>
          <t>等比 3〜5%/段</t>
        </is>
      </c>
      <c r="G128" s="23" t="inlineStr"/>
      <c r="H128" s="24" t="inlineStr"/>
      <c r="I128" s="18" t="inlineStr">
        <is>
          <t>PriceRank</t>
        </is>
      </c>
    </row>
    <row r="129" ht="36" customHeight="1">
      <c r="A129" s="17" t="inlineStr">
        <is>
          <t>F-03</t>
        </is>
      </c>
      <c r="B129" s="18" t="inlineStr">
        <is>
          <t>料金ランク運用</t>
        </is>
      </c>
      <c r="C129" s="19" t="inlineStr">
        <is>
          <t>有効ランクの範囲</t>
        </is>
      </c>
      <c r="D129" s="26" t="inlineStr">
        <is>
          <t>判定ルール</t>
        </is>
      </c>
      <c r="E129" s="21" t="inlineStr">
        <is>
          <t>実際に使うのは上下限内の20〜30段。全40段を常用しない。使わない段は isActive=false にし、推奨アルゴリズムの探索範囲から外す。</t>
        </is>
      </c>
      <c r="F129" s="22" t="inlineStr">
        <is>
          <t>常用 20〜30段</t>
        </is>
      </c>
      <c r="G129" s="23" t="inlineStr"/>
      <c r="H129" s="24" t="inlineStr"/>
      <c r="I129" s="18" t="inlineStr">
        <is>
          <t>PriceRank.isActive</t>
        </is>
      </c>
    </row>
    <row r="130" ht="36" customHeight="1">
      <c r="A130" s="17" t="inlineStr">
        <is>
          <t>F-04</t>
        </is>
      </c>
      <c r="B130" s="18" t="inlineStr">
        <is>
          <t>料金ランク運用</t>
        </is>
      </c>
      <c r="C130" s="19" t="inlineStr">
        <is>
          <t>中央ランクの意味</t>
        </is>
      </c>
      <c r="D130" s="25" t="inlineStr">
        <is>
          <t>定義</t>
        </is>
      </c>
      <c r="E130" s="21" t="inlineStr">
        <is>
          <t>平均稼働・平常需要時の価格を中央付近（R18〜R22）に置く。中央からの距離が「平常比でどれだけ強気/弱気か」を直感的に示す。</t>
        </is>
      </c>
      <c r="F130" s="22" t="inlineStr">
        <is>
          <t>中央 = R20</t>
        </is>
      </c>
      <c r="G130" s="23" t="inlineStr"/>
      <c r="H130" s="24" t="inlineStr"/>
      <c r="I130" s="18" t="inlineStr">
        <is>
          <t>F-SET-02</t>
        </is>
      </c>
    </row>
    <row r="131" ht="36" customHeight="1">
      <c r="A131" s="17" t="inlineStr">
        <is>
          <t>F-05</t>
        </is>
      </c>
      <c r="B131" s="18" t="inlineStr">
        <is>
          <t>料金ランク運用</t>
        </is>
      </c>
      <c r="C131" s="19" t="inlineStr">
        <is>
          <t>ランク表の改定</t>
        </is>
      </c>
      <c r="D131" s="26" t="inlineStr">
        <is>
          <t>判定ルール</t>
        </is>
      </c>
      <c r="E131" s="21" t="inlineStr">
        <is>
          <t>ランク表の価格改定は年1〜2回（市場水準・コスト変動時）。期中に頻繁に改定すると過去ランクとの比較ができなくなる。改定履歴はバージョン管理する。</t>
        </is>
      </c>
      <c r="F131" s="22" t="inlineStr">
        <is>
          <t>年1〜2回</t>
        </is>
      </c>
      <c r="G131" s="23" t="inlineStr"/>
      <c r="H131" s="24" t="inlineStr"/>
      <c r="I131" s="18" t="inlineStr">
        <is>
          <t>AuditLog / PriceRank.updatedAt</t>
        </is>
      </c>
    </row>
    <row r="132" ht="51" customHeight="1">
      <c r="A132" s="17" t="inlineStr">
        <is>
          <t>F-06</t>
        </is>
      </c>
      <c r="B132" s="18" t="inlineStr">
        <is>
          <t>料金ランク運用</t>
        </is>
      </c>
      <c r="C132" s="19" t="inlineStr">
        <is>
          <t>ランク表と季節</t>
        </is>
      </c>
      <c r="D132" s="26" t="inlineStr">
        <is>
          <t>判定ルール</t>
        </is>
      </c>
      <c r="E132" s="21" t="inlineStr">
        <is>
          <t>季節で価格水準が大きく変わるホテルは、ランク表を季節別に持つより「季節ベースランク」をずらす方が運用しやすい（同じR20でも夏はR24相当として扱う）。</t>
        </is>
      </c>
      <c r="F132" s="22" t="inlineStr">
        <is>
          <t>季節オフセット</t>
        </is>
      </c>
      <c r="G132" s="23" t="inlineStr"/>
      <c r="H132" s="24" t="inlineStr"/>
      <c r="I132" s="18" t="inlineStr">
        <is>
          <t>F-SET-02</t>
        </is>
      </c>
    </row>
    <row r="133" ht="51" customHeight="1">
      <c r="A133" s="17" t="inlineStr">
        <is>
          <t>F-07</t>
        </is>
      </c>
      <c r="B133" s="18" t="inlineStr">
        <is>
          <t>料金ランク運用</t>
        </is>
      </c>
      <c r="C133" s="19" t="inlineStr">
        <is>
          <t>ラベルの表示</t>
        </is>
      </c>
      <c r="D133" s="27" t="inlineStr">
        <is>
          <t>注意</t>
        </is>
      </c>
      <c r="E133" s="21" t="inlineStr">
        <is>
          <t>現場向けには「R24（¥14,800）」のようにランクと代表価格（2P）を併記する。ランクだけでは価格感が伝わらず、価格だけではランク運用の意味が消える。</t>
        </is>
      </c>
      <c r="F133" s="22" t="inlineStr">
        <is>
          <t>R + 2P価格</t>
        </is>
      </c>
      <c r="G133" s="23" t="inlineStr"/>
      <c r="H133" s="24" t="inlineStr"/>
      <c r="I133" s="18" t="inlineStr">
        <is>
          <t>F-DP-01 UI</t>
        </is>
      </c>
    </row>
    <row r="134" ht="51" customHeight="1">
      <c r="A134" s="17" t="inlineStr">
        <is>
          <t>F-08</t>
        </is>
      </c>
      <c r="B134" s="18" t="inlineStr">
        <is>
          <t>料金ランク運用</t>
        </is>
      </c>
      <c r="C134" s="19" t="inlineStr">
        <is>
          <t>人数別価格の生成ルール</t>
        </is>
      </c>
      <c r="D134" s="20" t="inlineStr">
        <is>
          <t>計算式</t>
        </is>
      </c>
      <c r="E134" s="21" t="inlineStr">
        <is>
          <t>2P = 1P × 1.6〜1.8、3P = 2P × 1.3〜1.4、4P = 3P × 1.2〜1.25 を初期生成ルールとし、部屋定員・ベッド構成で個別調整。人数が増えるほど1人単価が下がる形を保つ。</t>
        </is>
      </c>
      <c r="F134" s="22" t="inlineStr">
        <is>
          <t>1.7 / 1.35 / 1.2</t>
        </is>
      </c>
      <c r="G134" s="23" t="inlineStr"/>
      <c r="H134" s="24" t="inlineStr"/>
      <c r="I134" s="18" t="inlineStr">
        <is>
          <t>PriceRank.price2P/3P/4P</t>
        </is>
      </c>
    </row>
    <row r="135" ht="51" customHeight="1">
      <c r="A135" s="17" t="inlineStr">
        <is>
          <t>F-09</t>
        </is>
      </c>
      <c r="B135" s="18" t="inlineStr">
        <is>
          <t>料金ランク運用</t>
        </is>
      </c>
      <c r="C135" s="19" t="inlineStr">
        <is>
          <t>ランク運用の検証</t>
        </is>
      </c>
      <c r="D135" s="20" t="inlineStr">
        <is>
          <t>計算式</t>
        </is>
      </c>
      <c r="E135" s="21" t="inlineStr">
        <is>
          <t>ランク別の実績（そのランクで売った日の平均ピックアップ・着地ADR）を月次で集計し、「上げても売れた」「下げても売れなかった」ランク帯を特定して弾力性推定に使う。</t>
        </is>
      </c>
      <c r="F135" s="22" t="inlineStr">
        <is>
          <t>月次集計</t>
        </is>
      </c>
      <c r="G135" s="23" t="inlineStr"/>
      <c r="H135" s="24" t="inlineStr"/>
      <c r="I135" s="18" t="inlineStr">
        <is>
          <t>F-DP-05</t>
        </is>
      </c>
    </row>
    <row r="136" ht="36" customHeight="1">
      <c r="A136" s="17" t="inlineStr">
        <is>
          <t>F-10</t>
        </is>
      </c>
      <c r="B136" s="18" t="inlineStr">
        <is>
          <t>料金ランク運用</t>
        </is>
      </c>
      <c r="C136" s="19" t="inlineStr">
        <is>
          <t>ランク表の欠落</t>
        </is>
      </c>
      <c r="D136" s="27" t="inlineStr">
        <is>
          <t>注意</t>
        </is>
      </c>
      <c r="E136" s="21" t="inlineStr">
        <is>
          <t>推奨ランクに対応する価格が未設定（null）の場合、推奨価格は出さず「ランク表を確認」と表示する。近傍ランクの価格で代用しない。</t>
        </is>
      </c>
      <c r="F136" s="22" t="inlineStr">
        <is>
          <t>null は補完しない</t>
        </is>
      </c>
      <c r="G136" s="23" t="inlineStr"/>
      <c r="H136" s="24" t="inlineStr"/>
      <c r="I136" s="18" t="inlineStr">
        <is>
          <t>pricingService（rankByNumber）</t>
        </is>
      </c>
    </row>
    <row r="137" ht="36" customHeight="1">
      <c r="A137" s="17" t="inlineStr">
        <is>
          <t>F-11</t>
        </is>
      </c>
      <c r="B137" s="18" t="inlineStr">
        <is>
          <t>料金ランク運用</t>
        </is>
      </c>
      <c r="C137" s="19" t="inlineStr">
        <is>
          <t>複数部屋タイプのランク</t>
        </is>
      </c>
      <c r="D137" s="26" t="inlineStr">
        <is>
          <t>判定ルール</t>
        </is>
      </c>
      <c r="E137" s="21" t="inlineStr">
        <is>
          <t>部屋タイプ別にランク表を持つか、代表タイプのランクに「タイプ差額」を足すかを選ぶ。タイプ数が5以下なら差額方式が運用しやすい。</t>
        </is>
      </c>
      <c r="F137" s="22" t="inlineStr">
        <is>
          <t>5タイプ以下は差額方式</t>
        </is>
      </c>
      <c r="G137" s="23" t="inlineStr"/>
      <c r="H137" s="24" t="inlineStr"/>
      <c r="I137" s="18" t="inlineStr">
        <is>
          <t>RoomType</t>
        </is>
      </c>
    </row>
    <row r="138" ht="51" customHeight="1">
      <c r="A138" s="17" t="inlineStr">
        <is>
          <t>F-12</t>
        </is>
      </c>
      <c r="B138" s="18" t="inlineStr">
        <is>
          <t>料金ランク運用</t>
        </is>
      </c>
      <c r="C138" s="19" t="inlineStr">
        <is>
          <t>ランクの初期設定手順</t>
        </is>
      </c>
      <c r="D138" s="29" t="inlineStr">
        <is>
          <t>アクション</t>
        </is>
      </c>
      <c r="E138" s="21" t="inlineStr">
        <is>
          <t>①過去12か月のADR分布（5〜95パーセンタイル）を確認 ②その範囲をR05〜R35に等比で割付 ③上下に余白5段ずつ ④曜日別ベースランクを設定 ⑤上下限を設定。この順で行う。</t>
        </is>
      </c>
      <c r="F138" s="22" t="inlineStr">
        <is>
          <t>—</t>
        </is>
      </c>
      <c r="G138" s="23" t="inlineStr"/>
      <c r="H138" s="24" t="inlineStr"/>
      <c r="I138" s="18" t="inlineStr">
        <is>
          <t>F-SET-02</t>
        </is>
      </c>
    </row>
    <row r="139" ht="22" customHeight="1">
      <c r="A139" s="16" t="inlineStr">
        <is>
          <t>G　在庫・販売制限　　（関連: （推奨提示のみ。書き戻しはスコープ外））</t>
        </is>
      </c>
    </row>
    <row r="140" ht="36" customHeight="1">
      <c r="A140" s="17" t="inlineStr">
        <is>
          <t>G-01</t>
        </is>
      </c>
      <c r="B140" s="18" t="inlineStr">
        <is>
          <t>在庫・販売制限</t>
        </is>
      </c>
      <c r="C140" s="19" t="inlineStr">
        <is>
          <t>Min LOS（最低泊数）</t>
        </is>
      </c>
      <c r="D140" s="29" t="inlineStr">
        <is>
          <t>アクション</t>
        </is>
      </c>
      <c r="E140" s="21" t="inlineStr">
        <is>
          <t>イベント日・連休中日など「その日だけ埋まって前後が空く」日に、2泊以上を条件にする。前後日の予測稼働が当日より30pt以上低いときが適用の目安。</t>
        </is>
      </c>
      <c r="F140" s="22" t="inlineStr">
        <is>
          <t>前後差 ≥30pt で Min LOS 2</t>
        </is>
      </c>
      <c r="G140" s="23" t="inlineStr"/>
      <c r="H140" s="24" t="inlineStr"/>
      <c r="I140" s="18" t="inlineStr">
        <is>
          <t>推奨提示</t>
        </is>
      </c>
    </row>
    <row r="141" ht="36" customHeight="1">
      <c r="A141" s="17" t="inlineStr">
        <is>
          <t>G-02</t>
        </is>
      </c>
      <c r="B141" s="18" t="inlineStr">
        <is>
          <t>在庫・販売制限</t>
        </is>
      </c>
      <c r="C141" s="19" t="inlineStr">
        <is>
          <t>CTA（到着日クローズ）</t>
        </is>
      </c>
      <c r="D141" s="29" t="inlineStr">
        <is>
          <t>アクション</t>
        </is>
      </c>
      <c r="E141" s="21" t="inlineStr">
        <is>
          <t>超繁忙日（レベルA・残在庫≤10%）は到着日としての受付を止め、前日からの連泊のみ受ける。前日の稼働を引き上げつつ当日は確実に埋まる。</t>
        </is>
      </c>
      <c r="F141" s="22" t="inlineStr">
        <is>
          <t>A かつ残 ≤10%</t>
        </is>
      </c>
      <c r="G141" s="23" t="inlineStr"/>
      <c r="H141" s="24" t="inlineStr"/>
      <c r="I141" s="18" t="inlineStr">
        <is>
          <t>推奨提示</t>
        </is>
      </c>
    </row>
    <row r="142" ht="36" customHeight="1">
      <c r="A142" s="17" t="inlineStr">
        <is>
          <t>G-03</t>
        </is>
      </c>
      <c r="B142" s="18" t="inlineStr">
        <is>
          <t>在庫・販売制限</t>
        </is>
      </c>
      <c r="C142" s="19" t="inlineStr">
        <is>
          <t>CTD（出発日クローズ）</t>
        </is>
      </c>
      <c r="D142" s="29" t="inlineStr">
        <is>
          <t>アクション</t>
        </is>
      </c>
      <c r="E142" s="21" t="inlineStr">
        <is>
          <t>翌日が超繁忙日のとき、翌日出発の予約を止めて連泊を促す。清掃集中の緩和にも効く。</t>
        </is>
      </c>
      <c r="F142" s="22" t="inlineStr">
        <is>
          <t>—</t>
        </is>
      </c>
      <c r="G142" s="23" t="inlineStr"/>
      <c r="H142" s="24" t="inlineStr"/>
      <c r="I142" s="18" t="inlineStr">
        <is>
          <t>推奨提示</t>
        </is>
      </c>
    </row>
    <row r="143" ht="36" customHeight="1">
      <c r="A143" s="17" t="inlineStr">
        <is>
          <t>G-04</t>
        </is>
      </c>
      <c r="B143" s="18" t="inlineStr">
        <is>
          <t>在庫・販売制限</t>
        </is>
      </c>
      <c r="C143" s="19" t="inlineStr">
        <is>
          <t>チャネル売止め</t>
        </is>
      </c>
      <c r="D143" s="29" t="inlineStr">
        <is>
          <t>アクション</t>
        </is>
      </c>
      <c r="E143" s="21" t="inlineStr">
        <is>
          <t>残在庫 ≤15% になったら、実効手数料の高いチャネルから順に売止めし、直販・低手数料チャネルに在庫を集約する。</t>
        </is>
      </c>
      <c r="F143" s="22" t="inlineStr">
        <is>
          <t>残 ≤15% で高手数料チャネル停止</t>
        </is>
      </c>
      <c r="G143" s="23" t="inlineStr"/>
      <c r="H143" s="24" t="inlineStr"/>
      <c r="I143" s="18" t="inlineStr">
        <is>
          <t>OtaChannelData</t>
        </is>
      </c>
    </row>
    <row r="144" ht="36" customHeight="1">
      <c r="A144" s="17" t="inlineStr">
        <is>
          <t>G-05</t>
        </is>
      </c>
      <c r="B144" s="18" t="inlineStr">
        <is>
          <t>在庫・販売制限</t>
        </is>
      </c>
      <c r="C144" s="19" t="inlineStr">
        <is>
          <t>安値プランの停止</t>
        </is>
      </c>
      <c r="D144" s="29" t="inlineStr">
        <is>
          <t>アクション</t>
        </is>
      </c>
      <c r="E144" s="21" t="inlineStr">
        <is>
          <t>需要レベルB以上の日は早割・クーポン対象・キャンペーンプランを停止する。同じ部屋を安い条件で売る理由がない。</t>
        </is>
      </c>
      <c r="F144" s="22" t="inlineStr">
        <is>
          <t>B以上でプラン停止</t>
        </is>
      </c>
      <c r="G144" s="23" t="inlineStr"/>
      <c r="H144" s="24" t="inlineStr"/>
      <c r="I144" s="18" t="inlineStr">
        <is>
          <t>Campaign</t>
        </is>
      </c>
    </row>
    <row r="145" ht="36" customHeight="1">
      <c r="A145" s="17" t="inlineStr">
        <is>
          <t>G-06</t>
        </is>
      </c>
      <c r="B145" s="18" t="inlineStr">
        <is>
          <t>在庫・販売制限</t>
        </is>
      </c>
      <c r="C145" s="19" t="inlineStr">
        <is>
          <t>部屋タイプの出し分け</t>
        </is>
      </c>
      <c r="D145" s="29" t="inlineStr">
        <is>
          <t>アクション</t>
        </is>
      </c>
      <c r="E145" s="21" t="inlineStr">
        <is>
          <t>安いタイプが先に売れるため、繁忙日は下位タイプの在庫を絞って上位タイプへ誘導する。下位タイプの残在庫 ≤20% で上位との価格差を縮める。</t>
        </is>
      </c>
      <c r="F145" s="22" t="inlineStr">
        <is>
          <t>下位残 ≤20%</t>
        </is>
      </c>
      <c r="G145" s="23" t="inlineStr"/>
      <c r="H145" s="24" t="inlineStr"/>
      <c r="I145" s="18" t="inlineStr">
        <is>
          <t>RoomType</t>
        </is>
      </c>
    </row>
    <row r="146" ht="51" customHeight="1">
      <c r="A146" s="17" t="inlineStr">
        <is>
          <t>G-07</t>
        </is>
      </c>
      <c r="B146" s="18" t="inlineStr">
        <is>
          <t>在庫・販売制限</t>
        </is>
      </c>
      <c r="C146" s="19" t="inlineStr">
        <is>
          <t>オーバーブッキング上限</t>
        </is>
      </c>
      <c r="D146" s="20" t="inlineStr">
        <is>
          <t>計算式</t>
        </is>
      </c>
      <c r="E146" s="21" t="inlineStr">
        <is>
          <t>OB上限 = 期待ノーショー室数 − 安全余裕。期待ノーショー = 到着予定 × ノーショー率（曜日・チャネル別）。安全余裕は振替コストとの兼ね合いで決める。初期は控えめに。</t>
        </is>
      </c>
      <c r="F146" s="22" t="inlineStr">
        <is>
          <t>ノーショー率実績の70%まで</t>
        </is>
      </c>
      <c r="G146" s="23" t="inlineStr"/>
      <c r="H146" s="24" t="inlineStr"/>
      <c r="I146" s="18" t="inlineStr">
        <is>
          <t>GroupBooking / 将来拡張</t>
        </is>
      </c>
    </row>
    <row r="147" ht="36" customHeight="1">
      <c r="A147" s="17" t="inlineStr">
        <is>
          <t>G-08</t>
        </is>
      </c>
      <c r="B147" s="18" t="inlineStr">
        <is>
          <t>在庫・販売制限</t>
        </is>
      </c>
      <c r="C147" s="19" t="inlineStr">
        <is>
          <t>オーバーブッキング実施条件</t>
        </is>
      </c>
      <c r="D147" s="26" t="inlineStr">
        <is>
          <t>判定ルール</t>
        </is>
      </c>
      <c r="E147" s="21" t="inlineStr">
        <is>
          <t>近隣の振替先・差額負担・謝罪対応の手順が整備されているときのみ実施する。体制なしのOBはブランド毀損リスクが利益を上回る。</t>
        </is>
      </c>
      <c r="F147" s="22" t="inlineStr">
        <is>
          <t>手順書必須</t>
        </is>
      </c>
      <c r="G147" s="23" t="inlineStr"/>
      <c r="H147" s="24" t="inlineStr"/>
      <c r="I147" s="18" t="inlineStr">
        <is>
          <t>—</t>
        </is>
      </c>
    </row>
    <row r="148" ht="36" customHeight="1">
      <c r="A148" s="17" t="inlineStr">
        <is>
          <t>G-09</t>
        </is>
      </c>
      <c r="B148" s="18" t="inlineStr">
        <is>
          <t>在庫・販売制限</t>
        </is>
      </c>
      <c r="C148" s="19" t="inlineStr">
        <is>
          <t>団体ブロックの期限</t>
        </is>
      </c>
      <c r="D148" s="26" t="inlineStr">
        <is>
          <t>判定ルール</t>
        </is>
      </c>
      <c r="E148" s="21" t="inlineStr">
        <is>
          <t>団体ブロックには確定期限（カットオフ）を設け、期限を過ぎた未確定分は個人販売に戻す。繁忙日は期限を早く（60日前）、閑散日は遅く（14日前）。</t>
        </is>
      </c>
      <c r="F148" s="22" t="inlineStr">
        <is>
          <t>繁忙60日前 / 閑散14日前</t>
        </is>
      </c>
      <c r="G148" s="23" t="inlineStr"/>
      <c r="H148" s="24" t="inlineStr"/>
      <c r="I148" s="18" t="inlineStr">
        <is>
          <t>GroupBooking.cutoffDate（拡張）</t>
        </is>
      </c>
    </row>
    <row r="149" ht="36" customHeight="1">
      <c r="A149" s="17" t="inlineStr">
        <is>
          <t>G-10</t>
        </is>
      </c>
      <c r="B149" s="18" t="inlineStr">
        <is>
          <t>在庫・販売制限</t>
        </is>
      </c>
      <c r="C149" s="19" t="inlineStr">
        <is>
          <t>在庫の隠し持ち</t>
        </is>
      </c>
      <c r="D149" s="29" t="inlineStr">
        <is>
          <t>アクション</t>
        </is>
      </c>
      <c r="E149" s="21" t="inlineStr">
        <is>
          <t>OTA各社に全在庫を出さず、直販に一定数を確保する。ただし売れ残りリスクがあるため、直前7日で残っていればOTAに開放する。</t>
        </is>
      </c>
      <c r="F149" s="22" t="inlineStr">
        <is>
          <t>直販確保 5〜10%、7日前に開放</t>
        </is>
      </c>
      <c r="G149" s="23" t="inlineStr"/>
      <c r="H149" s="24" t="inlineStr"/>
      <c r="I149" s="18" t="inlineStr">
        <is>
          <t>OtaChannelData</t>
        </is>
      </c>
    </row>
    <row r="150" ht="36" customHeight="1">
      <c r="A150" s="17" t="inlineStr">
        <is>
          <t>G-11</t>
        </is>
      </c>
      <c r="B150" s="18" t="inlineStr">
        <is>
          <t>在庫・販売制限</t>
        </is>
      </c>
      <c r="C150" s="19" t="inlineStr">
        <is>
          <t>制限の解除タイミング</t>
        </is>
      </c>
      <c r="D150" s="26" t="inlineStr">
        <is>
          <t>判定ルール</t>
        </is>
      </c>
      <c r="E150" s="21" t="inlineStr">
        <is>
          <t>Min LOS・CTAは需要が想定より弱ければ即解除する。制限が残ったまま空室で終わるのが最悪。直前7日で残在庫 ≥20% なら全制限を解除。</t>
        </is>
      </c>
      <c r="F150" s="22" t="inlineStr">
        <is>
          <t>7日前・残 ≥20% で解除</t>
        </is>
      </c>
      <c r="G150" s="23" t="inlineStr"/>
      <c r="H150" s="24" t="inlineStr"/>
      <c r="I150" s="18" t="inlineStr">
        <is>
          <t>推奨提示</t>
        </is>
      </c>
    </row>
    <row r="151" ht="36" customHeight="1">
      <c r="A151" s="17" t="inlineStr">
        <is>
          <t>G-12</t>
        </is>
      </c>
      <c r="B151" s="18" t="inlineStr">
        <is>
          <t>在庫・販売制限</t>
        </is>
      </c>
      <c r="C151" s="19" t="inlineStr">
        <is>
          <t>制限の推奨表示</t>
        </is>
      </c>
      <c r="D151" s="28" t="inlineStr">
        <is>
          <t>説明ルール</t>
        </is>
      </c>
      <c r="E151" s="21" t="inlineStr">
        <is>
          <t>システムは制限を自動反映せず「推奨」として表示する（書き戻しはスコープ外）。推奨文には条件・理由・解除条件を添える。</t>
        </is>
      </c>
      <c r="F151" s="22" t="inlineStr">
        <is>
          <t>—</t>
        </is>
      </c>
      <c r="G151" s="23" t="inlineStr"/>
      <c r="H151" s="24" t="inlineStr"/>
      <c r="I151" s="18" t="inlineStr">
        <is>
          <t>F-DP-01</t>
        </is>
      </c>
    </row>
    <row r="152" ht="51" customHeight="1">
      <c r="A152" s="17" t="inlineStr">
        <is>
          <t>G-13</t>
        </is>
      </c>
      <c r="B152" s="18" t="inlineStr">
        <is>
          <t>在庫・販売制限</t>
        </is>
      </c>
      <c r="C152" s="19" t="inlineStr">
        <is>
          <t>在庫と価格の連携</t>
        </is>
      </c>
      <c r="D152" s="26" t="inlineStr">
        <is>
          <t>判定ルール</t>
        </is>
      </c>
      <c r="E152" s="21" t="inlineStr">
        <is>
          <t>価格を上げても売れ続ける日は制限（Min LOS・CTA）を追加し、制限してもピックアップが止まらない日はさらに価格を上げる。価格と在庫は交互に使う。</t>
        </is>
      </c>
      <c r="F152" s="22" t="inlineStr">
        <is>
          <t>—</t>
        </is>
      </c>
      <c r="G152" s="23" t="inlineStr"/>
      <c r="H152" s="24" t="inlineStr"/>
      <c r="I152" s="18" t="inlineStr">
        <is>
          <t>F-DP-01</t>
        </is>
      </c>
    </row>
    <row r="153" ht="51" customHeight="1">
      <c r="A153" s="17" t="inlineStr">
        <is>
          <t>G-14</t>
        </is>
      </c>
      <c r="B153" s="18" t="inlineStr">
        <is>
          <t>在庫・販売制限</t>
        </is>
      </c>
      <c r="C153" s="19" t="inlineStr">
        <is>
          <t>キャンセル期限後の戻り</t>
        </is>
      </c>
      <c r="D153" s="29" t="inlineStr">
        <is>
          <t>アクション</t>
        </is>
      </c>
      <c r="E153" s="21" t="inlineStr">
        <is>
          <t>無料キャンセル期限（前日・3日前等）直後に戻る在庫を見込み、期限翌日の朝に価格・制限を見直す。この在庫を投げ売りしないよう、当日販売チャネルの価格も上限寄りに。</t>
        </is>
      </c>
      <c r="F153" s="22" t="inlineStr">
        <is>
          <t>期限翌朝に再評価</t>
        </is>
      </c>
      <c r="G153" s="23" t="inlineStr"/>
      <c r="H153" s="24" t="inlineStr"/>
      <c r="I153" s="18" t="inlineStr">
        <is>
          <t>推奨提示</t>
        </is>
      </c>
    </row>
    <row r="154" ht="22" customHeight="1">
      <c r="A154" s="16" t="inlineStr">
        <is>
          <t>H　イベント・外部要因　　（関連: F-DP-07 / Event / DailyData.isHoliday）</t>
        </is>
      </c>
    </row>
    <row r="155" ht="66" customHeight="1">
      <c r="A155" s="17" t="inlineStr">
        <is>
          <t>H-01</t>
        </is>
      </c>
      <c r="B155" s="18" t="inlineStr">
        <is>
          <t>イベント・外部要因</t>
        </is>
      </c>
      <c r="C155" s="19" t="inlineStr">
        <is>
          <t>イベントの分類</t>
        </is>
      </c>
      <c r="D155" s="25" t="inlineStr">
        <is>
          <t>定義</t>
        </is>
      </c>
      <c r="E155" s="21" t="inlineStr">
        <is>
          <t>種別（concert / sports / conference / festival / exhibition / intl_holiday / local）と影響度（高・中・低）で分類する。影響度は「商圏の宿泊需要をどれだけ増やすか」で決め、イベントの知名度では決めない。</t>
        </is>
      </c>
      <c r="F155" s="22" t="inlineStr">
        <is>
          <t>type × impact</t>
        </is>
      </c>
      <c r="G155" s="23" t="inlineStr"/>
      <c r="H155" s="24" t="inlineStr"/>
      <c r="I155" s="18" t="inlineStr">
        <is>
          <t>Event.type / expectedImpact</t>
        </is>
      </c>
    </row>
    <row r="156" ht="51" customHeight="1">
      <c r="A156" s="17" t="inlineStr">
        <is>
          <t>H-02</t>
        </is>
      </c>
      <c r="B156" s="18" t="inlineStr">
        <is>
          <t>イベント・外部要因</t>
        </is>
      </c>
      <c r="C156" s="19" t="inlineStr">
        <is>
          <t>影響度の判定基準</t>
        </is>
      </c>
      <c r="D156" s="26" t="inlineStr">
        <is>
          <t>判定ルール</t>
        </is>
      </c>
      <c r="E156" s="21" t="inlineStr">
        <is>
          <t>高 = 来場者数が商圏客室数の50%超、または過去の同イベント日が満室。中 = 来場者数が商圏客室数の20〜50%。低 = それ未満だが需要増が観測される。判定根拠を description に残す。</t>
        </is>
      </c>
      <c r="F156" s="22" t="inlineStr">
        <is>
          <t>50% / 20% の比率</t>
        </is>
      </c>
      <c r="G156" s="23" t="inlineStr"/>
      <c r="H156" s="24" t="inlineStr"/>
      <c r="I156" s="18" t="inlineStr">
        <is>
          <t>Event.expectedImpact / description</t>
        </is>
      </c>
    </row>
    <row r="157" ht="51" customHeight="1">
      <c r="A157" s="17" t="inlineStr">
        <is>
          <t>H-03</t>
        </is>
      </c>
      <c r="B157" s="18" t="inlineStr">
        <is>
          <t>イベント・外部要因</t>
        </is>
      </c>
      <c r="C157" s="19" t="inlineStr">
        <is>
          <t>影響度の初期加算値</t>
        </is>
      </c>
      <c r="D157" s="20" t="inlineStr">
        <is>
          <t>計算式</t>
        </is>
      </c>
      <c r="E157" s="21" t="inlineStr">
        <is>
          <t>予測稼働への加算は 高 +15pt / 中 +8pt / 低 +3pt を初期値とし、同イベントの過去実績（イベント日の稼働 − 同曜日平均）で上書きする。2回目以降は実績値が優先。</t>
        </is>
      </c>
      <c r="F157" s="22" t="inlineStr">
        <is>
          <t>15/8/3pt → 実績で上書き</t>
        </is>
      </c>
      <c r="G157" s="23" t="inlineStr"/>
      <c r="H157" s="24" t="inlineStr"/>
      <c r="I157" s="18" t="inlineStr">
        <is>
          <t>computeEventImpact</t>
        </is>
      </c>
    </row>
    <row r="158" ht="51" customHeight="1">
      <c r="A158" s="17" t="inlineStr">
        <is>
          <t>H-04</t>
        </is>
      </c>
      <c r="B158" s="18" t="inlineStr">
        <is>
          <t>イベント・外部要因</t>
        </is>
      </c>
      <c r="C158" s="19" t="inlineStr">
        <is>
          <t>波及日の設定</t>
        </is>
      </c>
      <c r="D158" s="20" t="inlineStr">
        <is>
          <t>計算式</t>
        </is>
      </c>
      <c r="E158" s="21" t="inlineStr">
        <is>
          <t>イベントの前日・翌日にも影響を設定する。夜公演のライブは前泊型（前日+50%）、朝開始のスポーツ・マラソンは前泊型、複数日の学会・展示会は会期中フラット＋前日+30%。</t>
        </is>
      </c>
      <c r="F158" s="22" t="inlineStr">
        <is>
          <t>前日 0.5 / 翌日 0.3</t>
        </is>
      </c>
      <c r="G158" s="23" t="inlineStr"/>
      <c r="H158" s="24" t="inlineStr"/>
      <c r="I158" s="18" t="inlineStr">
        <is>
          <t>Event.startDate/endDate</t>
        </is>
      </c>
    </row>
    <row r="159" ht="36" customHeight="1">
      <c r="A159" s="17" t="inlineStr">
        <is>
          <t>H-05</t>
        </is>
      </c>
      <c r="B159" s="18" t="inlineStr">
        <is>
          <t>イベント・外部要因</t>
        </is>
      </c>
      <c r="C159" s="19" t="inlineStr">
        <is>
          <t>繰り返しイベント</t>
        </is>
      </c>
      <c r="D159" s="26" t="inlineStr">
        <is>
          <t>判定ルール</t>
        </is>
      </c>
      <c r="E159" s="21" t="inlineStr">
        <is>
          <t>毎年開催のイベントは前年登録から自動で翌年候補を生成し、日程確定時にオペレーターが確認する。登録漏れが最大の機会損失要因。</t>
        </is>
      </c>
      <c r="F159" s="22" t="inlineStr">
        <is>
          <t>翌年候補を自動生成</t>
        </is>
      </c>
      <c r="G159" s="23" t="inlineStr"/>
      <c r="H159" s="24" t="inlineStr"/>
      <c r="I159" s="18" t="inlineStr">
        <is>
          <t>F-DP-07</t>
        </is>
      </c>
    </row>
    <row r="160" ht="36" customHeight="1">
      <c r="A160" s="17" t="inlineStr">
        <is>
          <t>H-06</t>
        </is>
      </c>
      <c r="B160" s="18" t="inlineStr">
        <is>
          <t>イベント・外部要因</t>
        </is>
      </c>
      <c r="C160" s="19" t="inlineStr">
        <is>
          <t>イベントの登録期限</t>
        </is>
      </c>
      <c r="D160" s="26" t="inlineStr">
        <is>
          <t>判定ルール</t>
        </is>
      </c>
      <c r="E160" s="21" t="inlineStr">
        <is>
          <t>イベントは開催90日前までに登録する（早期予約が入り始める前）。直前登録は予測に反映されるが、既に安値で売れた在庫は戻らない。</t>
        </is>
      </c>
      <c r="F160" s="22" t="inlineStr">
        <is>
          <t>90日前まで</t>
        </is>
      </c>
      <c r="G160" s="23" t="inlineStr"/>
      <c r="H160" s="24" t="inlineStr"/>
      <c r="I160" s="18" t="inlineStr">
        <is>
          <t>F-DP-07（OPERATOR登録）</t>
        </is>
      </c>
    </row>
    <row r="161" ht="36" customHeight="1">
      <c r="A161" s="17" t="inlineStr">
        <is>
          <t>H-07</t>
        </is>
      </c>
      <c r="B161" s="18" t="inlineStr">
        <is>
          <t>イベント・外部要因</t>
        </is>
      </c>
      <c r="C161" s="19" t="inlineStr">
        <is>
          <t>イベント日の価格挙動</t>
        </is>
      </c>
      <c r="D161" s="26" t="inlineStr">
        <is>
          <t>判定ルール</t>
        </is>
      </c>
      <c r="E161" s="21" t="inlineStr">
        <is>
          <t>イベント日は通常より早期（60〜90日前）から強気にし、段階値上げの節目を前倒しする。イベント日のブッキングカーブは通常日より前倒しで立ち上がる。</t>
        </is>
      </c>
      <c r="F161" s="22" t="inlineStr">
        <is>
          <t>節目を30日前倒し</t>
        </is>
      </c>
      <c r="G161" s="23" t="inlineStr"/>
      <c r="H161" s="24" t="inlineStr"/>
      <c r="I161" s="18" t="inlineStr">
        <is>
          <t>F-DP-01</t>
        </is>
      </c>
    </row>
    <row r="162" ht="36" customHeight="1">
      <c r="A162" s="17" t="inlineStr">
        <is>
          <t>H-08</t>
        </is>
      </c>
      <c r="B162" s="18" t="inlineStr">
        <is>
          <t>イベント・外部要因</t>
        </is>
      </c>
      <c r="C162" s="19" t="inlineStr">
        <is>
          <t>イベント中止・延期</t>
        </is>
      </c>
      <c r="D162" s="29" t="inlineStr">
        <is>
          <t>アクション</t>
        </is>
      </c>
      <c r="E162" s="21" t="inlineStr">
        <is>
          <t>中止・延期が判明したら即時イベントを無効化し予測を再計算、キャンセル急増をアラートで通知する。空いた在庫は通常日ルールで販促。</t>
        </is>
      </c>
      <c r="F162" s="22" t="inlineStr">
        <is>
          <t>即時再計算</t>
        </is>
      </c>
      <c r="G162" s="23" t="inlineStr"/>
      <c r="H162" s="24" t="inlineStr"/>
      <c r="I162" s="18" t="inlineStr">
        <is>
          <t>F-DP-07 / N</t>
        </is>
      </c>
    </row>
    <row r="163" ht="36" customHeight="1">
      <c r="A163" s="17" t="inlineStr">
        <is>
          <t>H-09</t>
        </is>
      </c>
      <c r="B163" s="18" t="inlineStr">
        <is>
          <t>イベント・外部要因</t>
        </is>
      </c>
      <c r="C163" s="19" t="inlineStr">
        <is>
          <t>祝日・連休の扱い</t>
        </is>
      </c>
      <c r="D163" s="25" t="inlineStr">
        <is>
          <t>定義</t>
        </is>
      </c>
      <c r="E163" s="21" t="inlineStr">
        <is>
          <t>祝日・連休はイベントとは別に祝日マスタで扱う。連休の並び（3連休・飛び石・GW10連休等）による需要パターンの違いは、連休種別として補正する。</t>
        </is>
      </c>
      <c r="F163" s="22" t="inlineStr">
        <is>
          <t>祝日マスタ + 連休種別</t>
        </is>
      </c>
      <c r="G163" s="23" t="inlineStr"/>
      <c r="H163" s="24" t="inlineStr"/>
      <c r="I163" s="18" t="inlineStr">
        <is>
          <t>DailyData.isHoliday / holidayName</t>
        </is>
      </c>
    </row>
    <row r="164" ht="51" customHeight="1">
      <c r="A164" s="17" t="inlineStr">
        <is>
          <t>H-10</t>
        </is>
      </c>
      <c r="B164" s="18" t="inlineStr">
        <is>
          <t>イベント・外部要因</t>
        </is>
      </c>
      <c r="C164" s="19" t="inlineStr">
        <is>
          <t>GW・お盆・年末年始</t>
        </is>
      </c>
      <c r="D164" s="26" t="inlineStr">
        <is>
          <t>判定ルール</t>
        </is>
      </c>
      <c r="E164" s="21" t="inlineStr">
        <is>
          <t>GWは中日（平日）の谷、お盆は都市型のビジネス需要消失、年末年始は12/31〜1/2の観光地ピークと1/3以降の急落、を個別パターンとして持つ。一般の祝日補正では捉えられない。</t>
        </is>
      </c>
      <c r="F164" s="22" t="inlineStr">
        <is>
          <t>個別パターン3種</t>
        </is>
      </c>
      <c r="G164" s="23" t="inlineStr"/>
      <c r="H164" s="24" t="inlineStr"/>
      <c r="I164" s="18" t="inlineStr">
        <is>
          <t>F-DP-05</t>
        </is>
      </c>
    </row>
    <row r="165" ht="51" customHeight="1">
      <c r="A165" s="17" t="inlineStr">
        <is>
          <t>H-11</t>
        </is>
      </c>
      <c r="B165" s="18" t="inlineStr">
        <is>
          <t>イベント・外部要因</t>
        </is>
      </c>
      <c r="C165" s="19" t="inlineStr">
        <is>
          <t>海外の連休</t>
        </is>
      </c>
      <c r="D165" s="26" t="inlineStr">
        <is>
          <t>判定ルール</t>
        </is>
      </c>
      <c r="E165" s="21" t="inlineStr">
        <is>
          <t>春節（1〜2月）、国慶節（10月初）、タイ正月（4月中）、欧米のクリスマス休暇等を intl_holiday として登録し、インバウンド比率の高いホテルでは需要要因に加える。</t>
        </is>
      </c>
      <c r="F165" s="22" t="inlineStr">
        <is>
          <t>主要5連休を初期登録</t>
        </is>
      </c>
      <c r="G165" s="23" t="inlineStr"/>
      <c r="H165" s="24" t="inlineStr"/>
      <c r="I165" s="18" t="inlineStr">
        <is>
          <t>Event.type = intl_holiday</t>
        </is>
      </c>
    </row>
    <row r="166" ht="36" customHeight="1">
      <c r="A166" s="17" t="inlineStr">
        <is>
          <t>H-12</t>
        </is>
      </c>
      <c r="B166" s="18" t="inlineStr">
        <is>
          <t>イベント・外部要因</t>
        </is>
      </c>
      <c r="C166" s="19" t="inlineStr">
        <is>
          <t>競合施設の変化</t>
        </is>
      </c>
      <c r="D166" s="26" t="inlineStr">
        <is>
          <t>判定ルール</t>
        </is>
      </c>
      <c r="E166" s="21" t="inlineStr">
        <is>
          <t>近隣の新規開業・閉館・改装は「供給イベント」として登録する。開業直後3〜6か月は市場価格が下押しされ、閉館は自館への流入増となる。</t>
        </is>
      </c>
      <c r="F166" s="22" t="inlineStr">
        <is>
          <t>供給イベント種別</t>
        </is>
      </c>
      <c r="G166" s="23" t="inlineStr"/>
      <c r="H166" s="24" t="inlineStr"/>
      <c r="I166" s="18" t="inlineStr">
        <is>
          <t>Event.type = supply</t>
        </is>
      </c>
    </row>
    <row r="167" ht="51" customHeight="1">
      <c r="A167" s="17" t="inlineStr">
        <is>
          <t>H-13</t>
        </is>
      </c>
      <c r="B167" s="18" t="inlineStr">
        <is>
          <t>イベント・外部要因</t>
        </is>
      </c>
      <c r="C167" s="19" t="inlineStr">
        <is>
          <t>ネガティブ要因</t>
        </is>
      </c>
      <c r="D167" s="26" t="inlineStr">
        <is>
          <t>判定ルール</t>
        </is>
      </c>
      <c r="E167" s="21" t="inlineStr">
        <is>
          <t>近隣工事・交通規制・大規模な悪天候予報・感染症流行は負の外部要因として登録し、予測稼働から減算する（低 −3pt / 中 −8pt / 高 −15pt）。</t>
        </is>
      </c>
      <c r="F167" s="22" t="inlineStr">
        <is>
          <t>負の影響度</t>
        </is>
      </c>
      <c r="G167" s="23" t="inlineStr"/>
      <c r="H167" s="24" t="inlineStr"/>
      <c r="I167" s="18" t="inlineStr">
        <is>
          <t>DailyData.externalFactors / Event（負値）</t>
        </is>
      </c>
    </row>
    <row r="168" ht="36" customHeight="1">
      <c r="A168" s="17" t="inlineStr">
        <is>
          <t>H-14</t>
        </is>
      </c>
      <c r="B168" s="18" t="inlineStr">
        <is>
          <t>イベント・外部要因</t>
        </is>
      </c>
      <c r="C168" s="19" t="inlineStr">
        <is>
          <t>イベント情報の出典</t>
        </is>
      </c>
      <c r="D168" s="27" t="inlineStr">
        <is>
          <t>注意</t>
        </is>
      </c>
      <c r="E168" s="21" t="inlineStr">
        <is>
          <t>イベント登録には出典（公式サイト・会場発表）と登録者を残す。未確認情報で強気にして外すと現場の信頼を失う。</t>
        </is>
      </c>
      <c r="F168" s="22" t="inlineStr">
        <is>
          <t>出典URL必須</t>
        </is>
      </c>
      <c r="G168" s="23" t="inlineStr"/>
      <c r="H168" s="24" t="inlineStr"/>
      <c r="I168" s="18" t="inlineStr">
        <is>
          <t>Event.description / createdByUserId</t>
        </is>
      </c>
    </row>
    <row r="169" ht="51" customHeight="1">
      <c r="A169" s="17" t="inlineStr">
        <is>
          <t>H-15</t>
        </is>
      </c>
      <c r="B169" s="18" t="inlineStr">
        <is>
          <t>イベント・外部要因</t>
        </is>
      </c>
      <c r="C169" s="19" t="inlineStr">
        <is>
          <t>イベント効果の検証</t>
        </is>
      </c>
      <c r="D169" s="20" t="inlineStr">
        <is>
          <t>計算式</t>
        </is>
      </c>
      <c r="E169" s="21" t="inlineStr">
        <is>
          <t>イベント日の着地稼働 − 同曜日ベースライン = 実測影響。登録時の影響度と比較し、翌年の初期値を更新する。3回分の実績があれば実測値の中央値を採用。</t>
        </is>
      </c>
      <c r="F169" s="22" t="inlineStr">
        <is>
          <t>3回で中央値採用</t>
        </is>
      </c>
      <c r="G169" s="23" t="inlineStr"/>
      <c r="H169" s="24" t="inlineStr"/>
      <c r="I169" s="18" t="inlineStr">
        <is>
          <t>F-DP-05（学習）</t>
        </is>
      </c>
    </row>
    <row r="170" ht="36" customHeight="1">
      <c r="A170" s="17" t="inlineStr">
        <is>
          <t>H-16</t>
        </is>
      </c>
      <c r="B170" s="18" t="inlineStr">
        <is>
          <t>イベント・外部要因</t>
        </is>
      </c>
      <c r="C170" s="19" t="inlineStr">
        <is>
          <t>イベントカレンダーの表示</t>
        </is>
      </c>
      <c r="D170" s="28" t="inlineStr">
        <is>
          <t>説明ルール</t>
        </is>
      </c>
      <c r="E170" s="21" t="inlineStr">
        <is>
          <t>価格カレンダーにイベント名・影響度・波及日を重ねて表示し、推奨価格の根拠として「近隣で○○（高）」を明示する。</t>
        </is>
      </c>
      <c r="F170" s="22" t="inlineStr">
        <is>
          <t>—</t>
        </is>
      </c>
      <c r="G170" s="23" t="inlineStr"/>
      <c r="H170" s="24" t="inlineStr"/>
      <c r="I170" s="18" t="inlineStr">
        <is>
          <t>F-DP-01 / F-DP-07</t>
        </is>
      </c>
    </row>
    <row r="171" ht="22" customHeight="1">
      <c r="A171" s="16" t="inlineStr">
        <is>
          <t>I　競合分析　　（関連: F-DP-06 / F-DAILY-03 / F-ANA-02 / CompetitorPriceData）</t>
        </is>
      </c>
    </row>
    <row r="172" ht="51" customHeight="1">
      <c r="A172" s="17" t="inlineStr">
        <is>
          <t>I-01</t>
        </is>
      </c>
      <c r="B172" s="18" t="inlineStr">
        <is>
          <t>競合分析</t>
        </is>
      </c>
      <c r="C172" s="19" t="inlineStr">
        <is>
          <t>コンプセットの選定</t>
        </is>
      </c>
      <c r="D172" s="26" t="inlineStr">
        <is>
          <t>判定ルール</t>
        </is>
      </c>
      <c r="E172" s="21" t="inlineStr">
        <is>
          <t>自館の予約検討者が同時に比較する施設を4〜6社。基準: 立地（徒歩圏・同駅）、価格帯（ADR ±30%）、客層・グレード。知名度で選ばない。半年ごとに見直す。</t>
        </is>
      </c>
      <c r="F172" s="22" t="inlineStr">
        <is>
          <t>4〜6社、ADR ±30%</t>
        </is>
      </c>
      <c r="G172" s="23" t="inlineStr"/>
      <c r="H172" s="24" t="inlineStr"/>
      <c r="I172" s="18" t="inlineStr">
        <is>
          <t>F-SET-03 / Competitor</t>
        </is>
      </c>
    </row>
    <row r="173" ht="51" customHeight="1">
      <c r="A173" s="17" t="inlineStr">
        <is>
          <t>I-02</t>
        </is>
      </c>
      <c r="B173" s="18" t="inlineStr">
        <is>
          <t>競合分析</t>
        </is>
      </c>
      <c r="C173" s="19" t="inlineStr">
        <is>
          <t>価格取得の条件</t>
        </is>
      </c>
      <c r="D173" s="25" t="inlineStr">
        <is>
          <t>定義</t>
        </is>
      </c>
      <c r="E173" s="21" t="inlineStr">
        <is>
          <t>1名・2名・3名以上の利用人数別に、スタンダードクラス・食事なし・キャンセル可を標準条件として毎日同時刻に取得する。プラン最安値ではなく標準条件価格を比べる。</t>
        </is>
      </c>
      <c r="F173" s="22" t="inlineStr">
        <is>
          <t>標準条件固定</t>
        </is>
      </c>
      <c r="G173" s="23" t="inlineStr"/>
      <c r="H173" s="24" t="inlineStr"/>
      <c r="I173" s="18" t="inlineStr">
        <is>
          <t>F-DAILY-03 / CompetitorPriceData.price1P/2P/3P</t>
        </is>
      </c>
    </row>
    <row r="174" ht="36" customHeight="1">
      <c r="A174" s="17" t="inlineStr">
        <is>
          <t>I-03</t>
        </is>
      </c>
      <c r="B174" s="18" t="inlineStr">
        <is>
          <t>競合分析</t>
        </is>
      </c>
      <c r="C174" s="19" t="inlineStr">
        <is>
          <t>"平均"を使わない</t>
        </is>
      </c>
      <c r="D174" s="28" t="inlineStr">
        <is>
          <t>説明ルール</t>
        </is>
      </c>
      <c r="E174" s="21" t="inlineStr">
        <is>
          <t>競合価格は中央値・最安・最高・自館の位置（何番目か）で示し、「平均」という表現・指標を使わない（1社の外れ値で意味が変わるため。仕様で確定）。</t>
        </is>
      </c>
      <c r="F174" s="22" t="inlineStr">
        <is>
          <t>中央値・レンジ・順位</t>
        </is>
      </c>
      <c r="G174" s="23" t="inlineStr"/>
      <c r="H174" s="24" t="inlineStr"/>
      <c r="I174" s="18" t="inlineStr">
        <is>
          <t>F-DP-06 / F-ANA-02（仕様）</t>
        </is>
      </c>
    </row>
    <row r="175" ht="51" customHeight="1">
      <c r="A175" s="17" t="inlineStr">
        <is>
          <t>I-04</t>
        </is>
      </c>
      <c r="B175" s="18" t="inlineStr">
        <is>
          <t>競合分析</t>
        </is>
      </c>
      <c r="C175" s="19" t="inlineStr">
        <is>
          <t>価格ポジション指数</t>
        </is>
      </c>
      <c r="D175" s="20" t="inlineStr">
        <is>
          <t>計算式</t>
        </is>
      </c>
      <c r="E175" s="21" t="inlineStr">
        <is>
          <t>ポジション指数 = 自館価格 ÷ コンプセット中央値。過去のARI実績（自館が高く売れてきた度合い）と比べ、指数が実力より高ければ売れ行き鈍化、低ければ安売りの疑い。</t>
        </is>
      </c>
      <c r="F175" s="22" t="inlineStr">
        <is>
          <t>ARI実績 ±5% 以内が適正</t>
        </is>
      </c>
      <c r="G175" s="23" t="inlineStr"/>
      <c r="H175" s="24" t="inlineStr"/>
      <c r="I175" s="18" t="inlineStr">
        <is>
          <t>F-DP-06</t>
        </is>
      </c>
    </row>
    <row r="176" ht="51" customHeight="1">
      <c r="A176" s="17" t="inlineStr">
        <is>
          <t>I-05</t>
        </is>
      </c>
      <c r="B176" s="18" t="inlineStr">
        <is>
          <t>競合分析</t>
        </is>
      </c>
      <c r="C176" s="19" t="inlineStr">
        <is>
          <t>競合の「動き」検知</t>
        </is>
      </c>
      <c r="D176" s="26" t="inlineStr">
        <is>
          <t>判定ルール</t>
        </is>
      </c>
      <c r="E176" s="21" t="inlineStr">
        <is>
          <t>コンプセットの中央値が前日比 ±8% 以上動いた日、または半数以上が同方向に動いた日を「市場の動き」として検知しアラート。1社だけの動きは無視する。</t>
        </is>
      </c>
      <c r="F176" s="22" t="inlineStr">
        <is>
          <t>±8% or 過半数同方向</t>
        </is>
      </c>
      <c r="G176" s="23" t="inlineStr"/>
      <c r="H176" s="24" t="inlineStr"/>
      <c r="I176" s="18" t="inlineStr">
        <is>
          <t>N / CompetitorPriceData</t>
        </is>
      </c>
    </row>
    <row r="177" ht="51" customHeight="1">
      <c r="A177" s="17" t="inlineStr">
        <is>
          <t>I-06</t>
        </is>
      </c>
      <c r="B177" s="18" t="inlineStr">
        <is>
          <t>競合分析</t>
        </is>
      </c>
      <c r="C177" s="19" t="inlineStr">
        <is>
          <t>追従する動き・しない動き</t>
        </is>
      </c>
      <c r="D177" s="26" t="inlineStr">
        <is>
          <t>判定ルール</t>
        </is>
      </c>
      <c r="E177" s="21" t="inlineStr">
        <is>
          <t>追従する: 過半数の一斉値上げ（需要シグナル）。追従しない: 1社の値下げ、自館の需要レベルC以上での市場値下げ。追従度の重みは参照度であり自動追従ではない。</t>
        </is>
      </c>
      <c r="F177" s="22" t="inlineStr">
        <is>
          <t>—</t>
        </is>
      </c>
      <c r="G177" s="23" t="inlineStr"/>
      <c r="H177" s="24" t="inlineStr"/>
      <c r="I177" s="18" t="inlineStr">
        <is>
          <t>F-DP-02</t>
        </is>
      </c>
    </row>
    <row r="178" ht="36" customHeight="1">
      <c r="A178" s="17" t="inlineStr">
        <is>
          <t>I-07</t>
        </is>
      </c>
      <c r="B178" s="18" t="inlineStr">
        <is>
          <t>競合分析</t>
        </is>
      </c>
      <c r="C178" s="19" t="inlineStr">
        <is>
          <t>競合売止めの活用</t>
        </is>
      </c>
      <c r="D178" s="26" t="inlineStr">
        <is>
          <t>判定ルール</t>
        </is>
      </c>
      <c r="E178" s="21" t="inlineStr">
        <is>
          <t>コンプセットの売止め社数を日別に記録し、過半数売止めで自館ランク+2・レベル+1。全社売止めなら上限ランク。市場の在庫消失は最強の需要シグナル。</t>
        </is>
      </c>
      <c r="F178" s="22" t="inlineStr">
        <is>
          <t>過半数 +2、全社 上限</t>
        </is>
      </c>
      <c r="G178" s="23" t="inlineStr"/>
      <c r="H178" s="24" t="inlineStr"/>
      <c r="I178" s="18" t="inlineStr">
        <is>
          <t>CompetitorPriceData（soldout）</t>
        </is>
      </c>
    </row>
    <row r="179" ht="51" customHeight="1">
      <c r="A179" s="17" t="inlineStr">
        <is>
          <t>I-08</t>
        </is>
      </c>
      <c r="B179" s="18" t="inlineStr">
        <is>
          <t>競合分析</t>
        </is>
      </c>
      <c r="C179" s="19" t="inlineStr">
        <is>
          <t>価格差の許容範囲</t>
        </is>
      </c>
      <c r="D179" s="26" t="inlineStr">
        <is>
          <t>判定ルール</t>
        </is>
      </c>
      <c r="E179" s="21" t="inlineStr">
        <is>
          <t>自館が中央値より20%以上高く、かつペースがSTLY比−15%以下なら「価格が理由で負けている」可能性。逆に20%以上安くペースが速いなら「安売り」。両条件が揃ったときだけ価格要因と判断する。</t>
        </is>
      </c>
      <c r="F179" s="22" t="inlineStr">
        <is>
          <t>±20% × ペース ∓15%</t>
        </is>
      </c>
      <c r="G179" s="23" t="inlineStr"/>
      <c r="H179" s="24" t="inlineStr"/>
      <c r="I179" s="18" t="inlineStr">
        <is>
          <t>F-DP-06 / F-DAILY-01</t>
        </is>
      </c>
    </row>
    <row r="180" ht="36" customHeight="1">
      <c r="A180" s="17" t="inlineStr">
        <is>
          <t>I-09</t>
        </is>
      </c>
      <c r="B180" s="18" t="inlineStr">
        <is>
          <t>競合分析</t>
        </is>
      </c>
      <c r="C180" s="19" t="inlineStr">
        <is>
          <t>競合の値上げ余地シグナル</t>
        </is>
      </c>
      <c r="D180" s="26" t="inlineStr">
        <is>
          <t>判定ルール</t>
        </is>
      </c>
      <c r="E180" s="21" t="inlineStr">
        <is>
          <t>自館が売止めまたは残在庫 ≤10% で、競合がまだ販売中かつ自館より高いなら、自館は安すぎる。即時+2ランク以上。</t>
        </is>
      </c>
      <c r="F180" s="22" t="inlineStr">
        <is>
          <t>—</t>
        </is>
      </c>
      <c r="G180" s="23" t="inlineStr"/>
      <c r="H180" s="24" t="inlineStr"/>
      <c r="I180" s="18" t="inlineStr">
        <is>
          <t>F-DP-01</t>
        </is>
      </c>
    </row>
    <row r="181" ht="51" customHeight="1">
      <c r="A181" s="17" t="inlineStr">
        <is>
          <t>I-10</t>
        </is>
      </c>
      <c r="B181" s="18" t="inlineStr">
        <is>
          <t>競合分析</t>
        </is>
      </c>
      <c r="C181" s="19" t="inlineStr">
        <is>
          <t>市場データとの切り分け</t>
        </is>
      </c>
      <c r="D181" s="26" t="inlineStr">
        <is>
          <t>判定ルール</t>
        </is>
      </c>
      <c r="E181" s="21" t="inlineStr">
        <is>
          <t>自館のRGIが低下したとき、市場（コンプセット）のRevPARが伸びているなら自館固有の問題、市場も落ちているなら外部要因。打ち手が全く異なるため必ず切り分ける。</t>
        </is>
      </c>
      <c r="F181" s="22" t="inlineStr">
        <is>
          <t>—</t>
        </is>
      </c>
      <c r="G181" s="23" t="inlineStr"/>
      <c r="H181" s="24" t="inlineStr"/>
      <c r="I181" s="18" t="inlineStr">
        <is>
          <t>F-ANA-02</t>
        </is>
      </c>
    </row>
    <row r="182" ht="36" customHeight="1">
      <c r="A182" s="17" t="inlineStr">
        <is>
          <t>I-11</t>
        </is>
      </c>
      <c r="B182" s="18" t="inlineStr">
        <is>
          <t>競合分析</t>
        </is>
      </c>
      <c r="C182" s="19" t="inlineStr">
        <is>
          <t>レートパリティ監視</t>
        </is>
      </c>
      <c r="D182" s="26" t="inlineStr">
        <is>
          <t>判定ルール</t>
        </is>
      </c>
      <c r="E182" s="21" t="inlineStr">
        <is>
          <t>自館の同一条件価格がチャネル間で ±3% 以上ずれていたらアラート。パリティ崩れはOTA掲載順位低下・ベストレート保証違反・ゲスト不信を招く。</t>
        </is>
      </c>
      <c r="F182" s="22" t="inlineStr">
        <is>
          <t>±3%</t>
        </is>
      </c>
      <c r="G182" s="23" t="inlineStr"/>
      <c r="H182" s="24" t="inlineStr"/>
      <c r="I182" s="18" t="inlineStr">
        <is>
          <t>OtaChannelData / N</t>
        </is>
      </c>
    </row>
    <row r="183" ht="51" customHeight="1">
      <c r="A183" s="17" t="inlineStr">
        <is>
          <t>I-12</t>
        </is>
      </c>
      <c r="B183" s="18" t="inlineStr">
        <is>
          <t>競合分析</t>
        </is>
      </c>
      <c r="C183" s="19" t="inlineStr">
        <is>
          <t>競合の口コミ評点</t>
        </is>
      </c>
      <c r="D183" s="26" t="inlineStr">
        <is>
          <t>判定ルール</t>
        </is>
      </c>
      <c r="E183" s="21" t="inlineStr">
        <is>
          <t>同価格帯で自館の評点がコンプセットより0.3以上低ければ、価格ではなく商品・サービス起因の弱さと判断し、値下げで補わない。評点差はポジション係数に反映する。</t>
        </is>
      </c>
      <c r="F183" s="22" t="inlineStr">
        <is>
          <t>評点差 0.3</t>
        </is>
      </c>
      <c r="G183" s="23" t="inlineStr"/>
      <c r="H183" s="24" t="inlineStr"/>
      <c r="I183" s="18" t="inlineStr">
        <is>
          <t>F-ANA-04 / ReviewScore</t>
        </is>
      </c>
    </row>
    <row r="184" ht="36" customHeight="1">
      <c r="A184" s="17" t="inlineStr">
        <is>
          <t>I-13</t>
        </is>
      </c>
      <c r="B184" s="18" t="inlineStr">
        <is>
          <t>競合分析</t>
        </is>
      </c>
      <c r="C184" s="19" t="inlineStr">
        <is>
          <t>競合分析の頻度</t>
        </is>
      </c>
      <c r="D184" s="26" t="inlineStr">
        <is>
          <t>判定ルール</t>
        </is>
      </c>
      <c r="E184" s="21" t="inlineStr">
        <is>
          <t>価格は日次、コンプセット構成は半年、評点は月次で見直す。競合分析は週次RM会議の固定議題。</t>
        </is>
      </c>
      <c r="F184" s="22" t="inlineStr">
        <is>
          <t>日次/半年/月次</t>
        </is>
      </c>
      <c r="G184" s="23" t="inlineStr"/>
      <c r="H184" s="24" t="inlineStr"/>
      <c r="I184" s="18" t="inlineStr">
        <is>
          <t>P（業務サイクル）</t>
        </is>
      </c>
    </row>
    <row r="185" ht="36" customHeight="1">
      <c r="A185" s="17" t="inlineStr">
        <is>
          <t>I-14</t>
        </is>
      </c>
      <c r="B185" s="18" t="inlineStr">
        <is>
          <t>競合分析</t>
        </is>
      </c>
      <c r="C185" s="19" t="inlineStr">
        <is>
          <t>競合データの限界</t>
        </is>
      </c>
      <c r="D185" s="27" t="inlineStr">
        <is>
          <t>注意</t>
        </is>
      </c>
      <c r="E185" s="21" t="inlineStr">
        <is>
          <t>OTA表示価格は競合の「売りたい価格」であり実際の成約ADRではない。市場のADR実績は業界ベンチマーク（STR等）や自治体統計で補完する。</t>
        </is>
      </c>
      <c r="F185" s="22" t="inlineStr">
        <is>
          <t>—</t>
        </is>
      </c>
      <c r="G185" s="23" t="inlineStr"/>
      <c r="H185" s="24" t="inlineStr"/>
      <c r="I185" s="18" t="inlineStr">
        <is>
          <t>F-ANA-02</t>
        </is>
      </c>
    </row>
    <row r="186" ht="36" customHeight="1">
      <c r="A186" s="17" t="inlineStr">
        <is>
          <t>I-15</t>
        </is>
      </c>
      <c r="B186" s="18" t="inlineStr">
        <is>
          <t>競合分析</t>
        </is>
      </c>
      <c r="C186" s="19" t="inlineStr">
        <is>
          <t>競合価格の表示</t>
        </is>
      </c>
      <c r="D186" s="28" t="inlineStr">
        <is>
          <t>説明ルール</t>
        </is>
      </c>
      <c r="E186" s="21" t="inlineStr">
        <is>
          <t>日別カレンダーでは自館推奨価格と競合中央値・レンジを同じ人数条件で並べる。人数条件の異なる比較（自館2P vs 競合1P）を画面上で起こさない。</t>
        </is>
      </c>
      <c r="F186" s="22" t="inlineStr">
        <is>
          <t>同人数条件で表示</t>
        </is>
      </c>
      <c r="G186" s="23" t="inlineStr"/>
      <c r="H186" s="24" t="inlineStr"/>
      <c r="I186" s="18" t="inlineStr">
        <is>
          <t>F-DAILY-03</t>
        </is>
      </c>
    </row>
    <row r="187" ht="36" customHeight="1">
      <c r="A187" s="17" t="inlineStr">
        <is>
          <t>I-16</t>
        </is>
      </c>
      <c r="B187" s="18" t="inlineStr">
        <is>
          <t>競合分析</t>
        </is>
      </c>
      <c r="C187" s="19" t="inlineStr">
        <is>
          <t>新規競合の観測期間</t>
        </is>
      </c>
      <c r="D187" s="26" t="inlineStr">
        <is>
          <t>判定ルール</t>
        </is>
      </c>
      <c r="E187" s="21" t="inlineStr">
        <is>
          <t>新規開業ホテルはコンプセットに入れる前に3か月観測し、開業特価が終わってから価格帯を判定する。開業直後の価格でコンプセットの中央値を歪めない。</t>
        </is>
      </c>
      <c r="F187" s="22" t="inlineStr">
        <is>
          <t>3か月観測</t>
        </is>
      </c>
      <c r="G187" s="23" t="inlineStr"/>
      <c r="H187" s="24" t="inlineStr"/>
      <c r="I187" s="18" t="inlineStr">
        <is>
          <t>F-SET-03</t>
        </is>
      </c>
    </row>
    <row r="188" ht="22" customHeight="1">
      <c r="A188" s="16" t="inlineStr">
        <is>
          <t>J　販売チャネル　　（関連: OtaChannelData / Campaign）</t>
        </is>
      </c>
    </row>
    <row r="189" ht="51" customHeight="1">
      <c r="A189" s="17" t="inlineStr">
        <is>
          <t>J-01</t>
        </is>
      </c>
      <c r="B189" s="18" t="inlineStr">
        <is>
          <t>販売チャネル</t>
        </is>
      </c>
      <c r="C189" s="19" t="inlineStr">
        <is>
          <t>チャネルの分類</t>
        </is>
      </c>
      <c r="D189" s="25" t="inlineStr">
        <is>
          <t>定義</t>
        </is>
      </c>
      <c r="E189" s="21" t="inlineStr">
        <is>
          <t>直販（公式サイト・電話）、国内OTA（楽天トラベル・じゃらん・一休等）、海外OTA（Booking.com・Agoda・Expedia等）、リアルエージェント、法人契約、ウォークイン。チャネル別にネット実績を持つ。</t>
        </is>
      </c>
      <c r="F189" s="22" t="inlineStr">
        <is>
          <t>—</t>
        </is>
      </c>
      <c r="G189" s="23" t="inlineStr"/>
      <c r="H189" s="24" t="inlineStr"/>
      <c r="I189" s="18" t="inlineStr">
        <is>
          <t>OtaChannelData</t>
        </is>
      </c>
    </row>
    <row r="190" ht="51" customHeight="1">
      <c r="A190" s="17" t="inlineStr">
        <is>
          <t>J-02</t>
        </is>
      </c>
      <c r="B190" s="18" t="inlineStr">
        <is>
          <t>販売チャネル</t>
        </is>
      </c>
      <c r="C190" s="19" t="inlineStr">
        <is>
          <t>実効手数料の定義</t>
        </is>
      </c>
      <c r="D190" s="20" t="inlineStr">
        <is>
          <t>計算式</t>
        </is>
      </c>
      <c r="E190" s="21" t="inlineStr">
        <is>
          <t>実効手数料率 = (基本手数料 ＋ ポイント原資 ＋ 事前決済手数料 ＋ 広告・クーポン負担) ÷ 販売額。表面手数料だけで比較しない。チャネルごとに月次で実測する。</t>
        </is>
      </c>
      <c r="F190" s="22" t="inlineStr">
        <is>
          <t>国内OTA 10〜13%、海外OTA 15〜18% を初期値</t>
        </is>
      </c>
      <c r="G190" s="23" t="inlineStr"/>
      <c r="H190" s="24" t="inlineStr"/>
      <c r="I190" s="18" t="inlineStr">
        <is>
          <t>OtaChannelData.commission</t>
        </is>
      </c>
    </row>
    <row r="191" ht="36" customHeight="1">
      <c r="A191" s="17" t="inlineStr">
        <is>
          <t>J-03</t>
        </is>
      </c>
      <c r="B191" s="18" t="inlineStr">
        <is>
          <t>販売チャネル</t>
        </is>
      </c>
      <c r="C191" s="19" t="inlineStr">
        <is>
          <t>チャネル別ネットRevPAR</t>
        </is>
      </c>
      <c r="D191" s="20" t="inlineStr">
        <is>
          <t>計算式</t>
        </is>
      </c>
      <c r="E191" s="21" t="inlineStr">
        <is>
          <t>チャネル評価はネットRevPAR（手数料控除後）で行う。表面ADRが高くても実効手数料が高ければ手残りは低い。</t>
        </is>
      </c>
      <c r="F191" s="22" t="inlineStr">
        <is>
          <t>—</t>
        </is>
      </c>
      <c r="G191" s="23" t="inlineStr"/>
      <c r="H191" s="24" t="inlineStr"/>
      <c r="I191" s="18" t="inlineStr">
        <is>
          <t>OtaChannelData</t>
        </is>
      </c>
    </row>
    <row r="192" ht="51" customHeight="1">
      <c r="A192" s="17" t="inlineStr">
        <is>
          <t>J-04</t>
        </is>
      </c>
      <c r="B192" s="18" t="inlineStr">
        <is>
          <t>販売チャネル</t>
        </is>
      </c>
      <c r="C192" s="19" t="inlineStr">
        <is>
          <t>チャネル×客層</t>
        </is>
      </c>
      <c r="D192" s="25" t="inlineStr">
        <is>
          <t>定義</t>
        </is>
      </c>
      <c r="E192" s="21" t="inlineStr">
        <is>
          <t>楽天・じゃらん = 国内レジャー・ファミリー、Booking.com = 欧米個人、Agoda = アジア圏、一休・Relux = 高単価・記念日、直販 = リピーター。自館ターゲットに合わせて注力配分を決める。</t>
        </is>
      </c>
      <c r="F192" s="22" t="inlineStr">
        <is>
          <t>—</t>
        </is>
      </c>
      <c r="G192" s="23" t="inlineStr"/>
      <c r="H192" s="24" t="inlineStr"/>
      <c r="I192" s="18" t="inlineStr">
        <is>
          <t>OtaChannelData.channel</t>
        </is>
      </c>
    </row>
    <row r="193" ht="36" customHeight="1">
      <c r="A193" s="17" t="inlineStr">
        <is>
          <t>J-05</t>
        </is>
      </c>
      <c r="B193" s="18" t="inlineStr">
        <is>
          <t>販売チャネル</t>
        </is>
      </c>
      <c r="C193" s="19" t="inlineStr">
        <is>
          <t>直販比率の目標</t>
        </is>
      </c>
      <c r="D193" s="26" t="inlineStr">
        <is>
          <t>判定ルール</t>
        </is>
      </c>
      <c r="E193" s="21" t="inlineStr">
        <is>
          <t>直販比率（室数ベース）の初期目標20%、リピーター多いホテルは30%以上。直販が伸びない月はOTA依存度上昇として月次レビュー議題にする。</t>
        </is>
      </c>
      <c r="F193" s="22" t="inlineStr">
        <is>
          <t>20%（初期）</t>
        </is>
      </c>
      <c r="G193" s="23" t="inlineStr"/>
      <c r="H193" s="24" t="inlineStr"/>
      <c r="I193" s="18" t="inlineStr">
        <is>
          <t>OtaChannelData / F-ANA</t>
        </is>
      </c>
    </row>
    <row r="194" ht="51" customHeight="1">
      <c r="A194" s="17" t="inlineStr">
        <is>
          <t>J-06</t>
        </is>
      </c>
      <c r="B194" s="18" t="inlineStr">
        <is>
          <t>販売チャネル</t>
        </is>
      </c>
      <c r="C194" s="19" t="inlineStr">
        <is>
          <t>レートパリティと直販優位</t>
        </is>
      </c>
      <c r="D194" s="26" t="inlineStr">
        <is>
          <t>判定ルール</t>
        </is>
      </c>
      <c r="E194" s="21" t="inlineStr">
        <is>
          <t>表示価格はチャネル間で揃え、直販には会員価格・特典（レイトチェックアウト・朝食）・ベストレート保証で実質優位を作る。表示価格でOTAより安くしない（OTA側のペナルティ回避）。</t>
        </is>
      </c>
      <c r="F194" s="22" t="inlineStr">
        <is>
          <t>—</t>
        </is>
      </c>
      <c r="G194" s="23" t="inlineStr"/>
      <c r="H194" s="24" t="inlineStr"/>
      <c r="I194" s="18" t="inlineStr">
        <is>
          <t>Campaign</t>
        </is>
      </c>
    </row>
    <row r="195" ht="36" customHeight="1">
      <c r="A195" s="17" t="inlineStr">
        <is>
          <t>J-07</t>
        </is>
      </c>
      <c r="B195" s="18" t="inlineStr">
        <is>
          <t>販売チャネル</t>
        </is>
      </c>
      <c r="C195" s="19" t="inlineStr">
        <is>
          <t>繁忙日のチャネル配分</t>
        </is>
      </c>
      <c r="D195" s="29" t="inlineStr">
        <is>
          <t>アクション</t>
        </is>
      </c>
      <c r="E195" s="21" t="inlineStr">
        <is>
          <t>需要レベルA/Bの日は、実効手数料の高いチャネルから在庫を絞り、直販・低手数料チャネルに集約。どうせ埋まる日に高コストで売らない。</t>
        </is>
      </c>
      <c r="F195" s="22" t="inlineStr">
        <is>
          <t>A/Bで高手数料チャネル絞り</t>
        </is>
      </c>
      <c r="G195" s="23" t="inlineStr"/>
      <c r="H195" s="24" t="inlineStr"/>
      <c r="I195" s="18" t="inlineStr">
        <is>
          <t>OtaChannelData</t>
        </is>
      </c>
    </row>
    <row r="196" ht="36" customHeight="1">
      <c r="A196" s="17" t="inlineStr">
        <is>
          <t>J-08</t>
        </is>
      </c>
      <c r="B196" s="18" t="inlineStr">
        <is>
          <t>販売チャネル</t>
        </is>
      </c>
      <c r="C196" s="19" t="inlineStr">
        <is>
          <t>閑散日のチャネル活用</t>
        </is>
      </c>
      <c r="D196" s="29" t="inlineStr">
        <is>
          <t>アクション</t>
        </is>
      </c>
      <c r="E196" s="21" t="inlineStr">
        <is>
          <t>需要レベルD/Eの日は、OTA内広告・タイムセール・クーポン等のチャネル施策を価格引き下げより先に使う。露出施策のコストは値下げより回収しやすい。</t>
        </is>
      </c>
      <c r="F196" s="22" t="inlineStr">
        <is>
          <t>露出施策を先行</t>
        </is>
      </c>
      <c r="G196" s="23" t="inlineStr"/>
      <c r="H196" s="24" t="inlineStr"/>
      <c r="I196" s="18" t="inlineStr">
        <is>
          <t>Campaign</t>
        </is>
      </c>
    </row>
    <row r="197" ht="36" customHeight="1">
      <c r="A197" s="17" t="inlineStr">
        <is>
          <t>J-09</t>
        </is>
      </c>
      <c r="B197" s="18" t="inlineStr">
        <is>
          <t>販売チャネル</t>
        </is>
      </c>
      <c r="C197" s="19" t="inlineStr">
        <is>
          <t>OTA掲載順位</t>
        </is>
      </c>
      <c r="D197" s="26" t="inlineStr">
        <is>
          <t>判定ルール</t>
        </is>
      </c>
      <c r="E197" s="21" t="inlineStr">
        <is>
          <t>OTA内の検索順位はコンバージョン・評点・パリティ・在庫充足で決まる。順位低下時は価格より先に写真・プラン名・評点対応・在庫開放を確認する。</t>
        </is>
      </c>
      <c r="F197" s="22" t="inlineStr">
        <is>
          <t>—</t>
        </is>
      </c>
      <c r="G197" s="23" t="inlineStr"/>
      <c r="H197" s="24" t="inlineStr"/>
      <c r="I197" s="18" t="inlineStr">
        <is>
          <t>OtaChannelData</t>
        </is>
      </c>
    </row>
    <row r="198" ht="51" customHeight="1">
      <c r="A198" s="17" t="inlineStr">
        <is>
          <t>J-10</t>
        </is>
      </c>
      <c r="B198" s="18" t="inlineStr">
        <is>
          <t>販売チャネル</t>
        </is>
      </c>
      <c r="C198" s="19" t="inlineStr">
        <is>
          <t>キャンペーンの評価</t>
        </is>
      </c>
      <c r="D198" s="20" t="inlineStr">
        <is>
          <t>計算式</t>
        </is>
      </c>
      <c r="E198" s="21" t="inlineStr">
        <is>
          <t>キャンペーン効果 = 期間中のネットRevPAR − 同曜日ベースラインのネットRevPAR。表面売上の増加ではなく、手数料・割引後の増分で判断する。</t>
        </is>
      </c>
      <c r="F198" s="22" t="inlineStr">
        <is>
          <t>ネット増分で評価</t>
        </is>
      </c>
      <c r="G198" s="23" t="inlineStr"/>
      <c r="H198" s="24" t="inlineStr"/>
      <c r="I198" s="18" t="inlineStr">
        <is>
          <t>Campaign</t>
        </is>
      </c>
    </row>
    <row r="199" ht="36" customHeight="1">
      <c r="A199" s="17" t="inlineStr">
        <is>
          <t>J-11</t>
        </is>
      </c>
      <c r="B199" s="18" t="inlineStr">
        <is>
          <t>販売チャネル</t>
        </is>
      </c>
      <c r="C199" s="19" t="inlineStr">
        <is>
          <t>サイトコントローラー点検</t>
        </is>
      </c>
      <c r="D199" s="29" t="inlineStr">
        <is>
          <t>アクション</t>
        </is>
      </c>
      <c r="E199" s="21" t="inlineStr">
        <is>
          <t>在庫・料金連動の設定（プラン紐付け・在庫割当・停止条件）を月1回点検する。設定ミスは売り逃し・過剰販売・パリティ崩れに直結する。</t>
        </is>
      </c>
      <c r="F199" s="22" t="inlineStr">
        <is>
          <t>月1回</t>
        </is>
      </c>
      <c r="G199" s="23" t="inlineStr"/>
      <c r="H199" s="24" t="inlineStr"/>
      <c r="I199" s="18" t="inlineStr">
        <is>
          <t>F-SET-03（連携先確定後）</t>
        </is>
      </c>
    </row>
    <row r="200" ht="36" customHeight="1">
      <c r="A200" s="17" t="inlineStr">
        <is>
          <t>J-12</t>
        </is>
      </c>
      <c r="B200" s="18" t="inlineStr">
        <is>
          <t>販売チャネル</t>
        </is>
      </c>
      <c r="C200" s="19" t="inlineStr">
        <is>
          <t>チャネル別リードタイム</t>
        </is>
      </c>
      <c r="D200" s="26" t="inlineStr">
        <is>
          <t>判定ルール</t>
        </is>
      </c>
      <c r="E200" s="21" t="inlineStr">
        <is>
          <t>チャネルごとのリードタイム分布を持つ（海外OTAは長い、国内OTAは中、直販・電話は短い）。予測の残ピックアップはチャネルミックスで補正する。</t>
        </is>
      </c>
      <c r="F200" s="22" t="inlineStr">
        <is>
          <t>—</t>
        </is>
      </c>
      <c r="G200" s="23" t="inlineStr"/>
      <c r="H200" s="24" t="inlineStr"/>
      <c r="I200" s="18" t="inlineStr">
        <is>
          <t>OtaChannelData / F-DP-05</t>
        </is>
      </c>
    </row>
    <row r="201" ht="36" customHeight="1">
      <c r="A201" s="17" t="inlineStr">
        <is>
          <t>J-13</t>
        </is>
      </c>
      <c r="B201" s="18" t="inlineStr">
        <is>
          <t>販売チャネル</t>
        </is>
      </c>
      <c r="C201" s="19" t="inlineStr">
        <is>
          <t>チャネル別キャンセル率</t>
        </is>
      </c>
      <c r="D201" s="26" t="inlineStr">
        <is>
          <t>判定ルール</t>
        </is>
      </c>
      <c r="E201" s="21" t="inlineStr">
        <is>
          <t>海外OTAのキャンセル可プランはキャンセル率が高い傾向。チャネル別キャンセル率をOTBの実需換算とオーバーブッキング判断に使う。</t>
        </is>
      </c>
      <c r="F201" s="22" t="inlineStr">
        <is>
          <t>チャネル別に実測</t>
        </is>
      </c>
      <c r="G201" s="23" t="inlineStr"/>
      <c r="H201" s="24" t="inlineStr"/>
      <c r="I201" s="18" t="inlineStr">
        <is>
          <t>OtaChannelData</t>
        </is>
      </c>
    </row>
    <row r="202" ht="36" customHeight="1">
      <c r="A202" s="17" t="inlineStr">
        <is>
          <t>J-14</t>
        </is>
      </c>
      <c r="B202" s="18" t="inlineStr">
        <is>
          <t>販売チャネル</t>
        </is>
      </c>
      <c r="C202" s="19" t="inlineStr">
        <is>
          <t>チャネル戦略の説明</t>
        </is>
      </c>
      <c r="D202" s="28" t="inlineStr">
        <is>
          <t>説明ルール</t>
        </is>
      </c>
      <c r="E202" s="21" t="inlineStr">
        <is>
          <t>AIコメントで「○チャネルの比率が高い」と言うときは、必ずネット単価への影響（手残り）を数字で添える。比率だけの指摘は行動につながらない。</t>
        </is>
      </c>
      <c r="F202" s="22" t="inlineStr">
        <is>
          <t>—</t>
        </is>
      </c>
      <c r="G202" s="23" t="inlineStr"/>
      <c r="H202" s="24" t="inlineStr"/>
      <c r="I202" s="18" t="inlineStr">
        <is>
          <t>F-DASH-06</t>
        </is>
      </c>
    </row>
    <row r="203" ht="22" customHeight="1">
      <c r="A203" s="16" t="inlineStr">
        <is>
          <t>K　セグメント・団体　　（関連: F-SET-05 / GroupBooking）</t>
        </is>
      </c>
    </row>
    <row r="204" ht="51" customHeight="1">
      <c r="A204" s="17" t="inlineStr">
        <is>
          <t>K-01</t>
        </is>
      </c>
      <c r="B204" s="18" t="inlineStr">
        <is>
          <t>セグメント・団体</t>
        </is>
      </c>
      <c r="C204" s="19" t="inlineStr">
        <is>
          <t>セグメントの定義</t>
        </is>
      </c>
      <c r="D204" s="25" t="inlineStr">
        <is>
          <t>定義</t>
        </is>
      </c>
      <c r="E204" s="21" t="inlineStr">
        <is>
          <t>ビジネス個人 / 国内レジャー / インバウンド / 団体・グループ / 法人契約 / その他。セグメント（客層）とチャネル（販売経路）は別軸で管理する。</t>
        </is>
      </c>
      <c r="F204" s="22" t="inlineStr">
        <is>
          <t>—</t>
        </is>
      </c>
      <c r="G204" s="23" t="inlineStr"/>
      <c r="H204" s="24" t="inlineStr"/>
      <c r="I204" s="18" t="inlineStr">
        <is>
          <t>GroupBooking / 将来拡張</t>
        </is>
      </c>
    </row>
    <row r="205" ht="51" customHeight="1">
      <c r="A205" s="17" t="inlineStr">
        <is>
          <t>K-02</t>
        </is>
      </c>
      <c r="B205" s="18" t="inlineStr">
        <is>
          <t>セグメント・団体</t>
        </is>
      </c>
      <c r="C205" s="19" t="inlineStr">
        <is>
          <t>セグメント別の行動特性</t>
        </is>
      </c>
      <c r="D205" s="25" t="inlineStr">
        <is>
          <t>定義</t>
        </is>
      </c>
      <c r="E205" s="21" t="inlineStr">
        <is>
          <t>ビジネス: 平日・直前・価格感度中。国内レジャー: 週末連休・2〜8週前・価格感度高。インバウンド: 長期リード・連泊・為替影響。団体: 大口・ウォッシュあり。法人: 固定価格・平日安定。</t>
        </is>
      </c>
      <c r="F205" s="22" t="inlineStr">
        <is>
          <t>—</t>
        </is>
      </c>
      <c r="G205" s="23" t="inlineStr"/>
      <c r="H205" s="24" t="inlineStr"/>
      <c r="I205" s="18" t="inlineStr">
        <is>
          <t>F-DP-05</t>
        </is>
      </c>
    </row>
    <row r="206" ht="51" customHeight="1">
      <c r="A206" s="17" t="inlineStr">
        <is>
          <t>K-03</t>
        </is>
      </c>
      <c r="B206" s="18" t="inlineStr">
        <is>
          <t>セグメント・団体</t>
        </is>
      </c>
      <c r="C206" s="19" t="inlineStr">
        <is>
          <t>ディスプレイスメント分析</t>
        </is>
      </c>
      <c r="D206" s="20" t="inlineStr">
        <is>
          <t>計算式</t>
        </is>
      </c>
      <c r="E206" s="21" t="inlineStr">
        <is>
          <t>団体受入の判断: 団体売上 − 押し出される個人需要の売上（＝押し出し室数 × 個人の予測ADR）＋ 団体の付帯売上（宴会・料飲）。正なら受入、負なら断るか価格を上げる。</t>
        </is>
      </c>
      <c r="F206" s="22" t="inlineStr">
        <is>
          <t>—</t>
        </is>
      </c>
      <c r="G206" s="23" t="inlineStr"/>
      <c r="H206" s="24" t="inlineStr"/>
      <c r="I206" s="18" t="inlineStr">
        <is>
          <t>F-SET-05 / GroupBooking</t>
        </is>
      </c>
    </row>
    <row r="207" ht="36" customHeight="1">
      <c r="A207" s="17" t="inlineStr">
        <is>
          <t>K-04</t>
        </is>
      </c>
      <c r="B207" s="18" t="inlineStr">
        <is>
          <t>セグメント・団体</t>
        </is>
      </c>
      <c r="C207" s="19" t="inlineStr">
        <is>
          <t>押し出し室数の推定</t>
        </is>
      </c>
      <c r="D207" s="20" t="inlineStr">
        <is>
          <t>計算式</t>
        </is>
      </c>
      <c r="E207" s="21" t="inlineStr">
        <is>
          <t>押し出し室数 = max(0, 個人の予測需要 − (総在庫 − 団体室数))。個人需要が総在庫を下回る日なら押し出しはゼロ（団体はほぼ純増）。</t>
        </is>
      </c>
      <c r="F207" s="22" t="inlineStr">
        <is>
          <t>—</t>
        </is>
      </c>
      <c r="G207" s="23" t="inlineStr"/>
      <c r="H207" s="24" t="inlineStr"/>
      <c r="I207" s="18" t="inlineStr">
        <is>
          <t>F-SET-05</t>
        </is>
      </c>
    </row>
    <row r="208" ht="51" customHeight="1">
      <c r="A208" s="17" t="inlineStr">
        <is>
          <t>K-05</t>
        </is>
      </c>
      <c r="B208" s="18" t="inlineStr">
        <is>
          <t>セグメント・団体</t>
        </is>
      </c>
      <c r="C208" s="19" t="inlineStr">
        <is>
          <t>団体の最低受入価格</t>
        </is>
      </c>
      <c r="D208" s="20" t="inlineStr">
        <is>
          <t>計算式</t>
        </is>
      </c>
      <c r="E208" s="21" t="inlineStr">
        <is>
          <t>団体最低価格 = 押し出される個人需要の売上 ÷ 団体室数（＝ハードルレート）。繁忙日はこの値が個人価格に近づき、閑散日はゼロに近づく。年間一律の団体料金を使わない。</t>
        </is>
      </c>
      <c r="F208" s="22" t="inlineStr">
        <is>
          <t>日別ハードルレート</t>
        </is>
      </c>
      <c r="G208" s="23" t="inlineStr"/>
      <c r="H208" s="24" t="inlineStr"/>
      <c r="I208" s="18" t="inlineStr">
        <is>
          <t>F-SET-05</t>
        </is>
      </c>
    </row>
    <row r="209" ht="51" customHeight="1">
      <c r="A209" s="17" t="inlineStr">
        <is>
          <t>K-06</t>
        </is>
      </c>
      <c r="B209" s="18" t="inlineStr">
        <is>
          <t>セグメント・団体</t>
        </is>
      </c>
      <c r="C209" s="19" t="inlineStr">
        <is>
          <t>ウォッシュ率の適用</t>
        </is>
      </c>
      <c r="D209" s="26" t="inlineStr">
        <is>
          <t>判定ルール</t>
        </is>
      </c>
      <c r="E209" s="21" t="inlineStr">
        <is>
          <t>団体ブロックの実需 = ブロック室数 × (1 − ウォッシュ率)。ウォッシュ率は団体種別（旅行会社・学校・企業）別の過去実績。ブロック全量を需要として予測に入れない。</t>
        </is>
      </c>
      <c r="F209" s="22" t="inlineStr">
        <is>
          <t>初期 25%</t>
        </is>
      </c>
      <c r="G209" s="23" t="inlineStr"/>
      <c r="H209" s="24" t="inlineStr"/>
      <c r="I209" s="18" t="inlineStr">
        <is>
          <t>GroupBooking / F-DP-05</t>
        </is>
      </c>
    </row>
    <row r="210" ht="51" customHeight="1">
      <c r="A210" s="17" t="inlineStr">
        <is>
          <t>K-07</t>
        </is>
      </c>
      <c r="B210" s="18" t="inlineStr">
        <is>
          <t>セグメント・団体</t>
        </is>
      </c>
      <c r="C210" s="19" t="inlineStr">
        <is>
          <t>団体の受入判断フロー</t>
        </is>
      </c>
      <c r="D210" s="29" t="inlineStr">
        <is>
          <t>アクション</t>
        </is>
      </c>
      <c r="E210" s="21" t="inlineStr">
        <is>
          <t>①その日の個人予測需要とレベル確認 ②押し出し室数計算 ③ハードルレートと提示価格を比較 ④付帯売上・将来リピートを加味 ⑤受入可否と条件（室数上限・カットオフ・キャンセル料）を提示。</t>
        </is>
      </c>
      <c r="F210" s="22" t="inlineStr">
        <is>
          <t>—</t>
        </is>
      </c>
      <c r="G210" s="23" t="inlineStr"/>
      <c r="H210" s="24" t="inlineStr"/>
      <c r="I210" s="18" t="inlineStr">
        <is>
          <t>F-SET-05</t>
        </is>
      </c>
    </row>
    <row r="211" ht="36" customHeight="1">
      <c r="A211" s="17" t="inlineStr">
        <is>
          <t>K-08</t>
        </is>
      </c>
      <c r="B211" s="18" t="inlineStr">
        <is>
          <t>セグメント・団体</t>
        </is>
      </c>
      <c r="C211" s="19" t="inlineStr">
        <is>
          <t>団体の室数上限</t>
        </is>
      </c>
      <c r="D211" s="26" t="inlineStr">
        <is>
          <t>判定ルール</t>
        </is>
      </c>
      <c r="E211" s="21" t="inlineStr">
        <is>
          <t>1団体で総在庫の30%超、または複数団体で50%超のブロックは、繁忙日には原則受けない（個人需要の取り込み余地を残す）。閑散日は上限を緩める。</t>
        </is>
      </c>
      <c r="F211" s="22" t="inlineStr">
        <is>
          <t>繁忙 30%/50%</t>
        </is>
      </c>
      <c r="G211" s="23" t="inlineStr"/>
      <c r="H211" s="24" t="inlineStr"/>
      <c r="I211" s="18" t="inlineStr">
        <is>
          <t>F-SET-05</t>
        </is>
      </c>
    </row>
    <row r="212" ht="36" customHeight="1">
      <c r="A212" s="17" t="inlineStr">
        <is>
          <t>K-09</t>
        </is>
      </c>
      <c r="B212" s="18" t="inlineStr">
        <is>
          <t>セグメント・団体</t>
        </is>
      </c>
      <c r="C212" s="19" t="inlineStr">
        <is>
          <t>団体キャンセル条件</t>
        </is>
      </c>
      <c r="D212" s="26" t="inlineStr">
        <is>
          <t>判定ルール</t>
        </is>
      </c>
      <c r="E212" s="21" t="inlineStr">
        <is>
          <t>団体には室数確定期限と段階的キャンセル料（30日前50%・14日前80%・7日前100%等）を設定し、ウォッシュリスクを価格・条件に転嫁する。</t>
        </is>
      </c>
      <c r="F212" s="22" t="inlineStr">
        <is>
          <t>段階キャンセル料</t>
        </is>
      </c>
      <c r="G212" s="23" t="inlineStr"/>
      <c r="H212" s="24" t="inlineStr"/>
      <c r="I212" s="18" t="inlineStr">
        <is>
          <t>GroupBooking</t>
        </is>
      </c>
    </row>
    <row r="213" ht="51" customHeight="1">
      <c r="A213" s="17" t="inlineStr">
        <is>
          <t>K-10</t>
        </is>
      </c>
      <c r="B213" s="18" t="inlineStr">
        <is>
          <t>セグメント・団体</t>
        </is>
      </c>
      <c r="C213" s="19" t="inlineStr">
        <is>
          <t>法人契約（LRA/NLRA）</t>
        </is>
      </c>
      <c r="D213" s="25" t="inlineStr">
        <is>
          <t>定義</t>
        </is>
      </c>
      <c r="E213" s="21" t="inlineStr">
        <is>
          <t>LRA = 最終1室まで契約価格で販売する義務あり、NLRA = 満室近くで契約価格の販売を止められる。LRAは繁忙日の機会損失要因のため、契約時に対象日除外か価格差を設ける。</t>
        </is>
      </c>
      <c r="F213" s="22" t="inlineStr">
        <is>
          <t>—</t>
        </is>
      </c>
      <c r="G213" s="23" t="inlineStr"/>
      <c r="H213" s="24" t="inlineStr"/>
      <c r="I213" s="18" t="inlineStr">
        <is>
          <t>将来拡張</t>
        </is>
      </c>
    </row>
    <row r="214" ht="36" customHeight="1">
      <c r="A214" s="17" t="inlineStr">
        <is>
          <t>K-11</t>
        </is>
      </c>
      <c r="B214" s="18" t="inlineStr">
        <is>
          <t>セグメント・団体</t>
        </is>
      </c>
      <c r="C214" s="19" t="inlineStr">
        <is>
          <t>法人契約の年次見直し</t>
        </is>
      </c>
      <c r="D214" s="29" t="inlineStr">
        <is>
          <t>アクション</t>
        </is>
      </c>
      <c r="E214" s="21" t="inlineStr">
        <is>
          <t>契約更改時に、契約価格の実績（利用室数・繁忙日利用比率・機会損失額）を提示し、繁忙日除外・季節別価格・利用室数コミットを交渉する。</t>
        </is>
      </c>
      <c r="F214" s="22" t="inlineStr">
        <is>
          <t>年1回</t>
        </is>
      </c>
      <c r="G214" s="23" t="inlineStr"/>
      <c r="H214" s="24" t="inlineStr"/>
      <c r="I214" s="18" t="inlineStr">
        <is>
          <t>F-SET-05</t>
        </is>
      </c>
    </row>
    <row r="215" ht="51" customHeight="1">
      <c r="A215" s="17" t="inlineStr">
        <is>
          <t>K-12</t>
        </is>
      </c>
      <c r="B215" s="18" t="inlineStr">
        <is>
          <t>セグメント・団体</t>
        </is>
      </c>
      <c r="C215" s="19" t="inlineStr">
        <is>
          <t>インバウンドの早売り防止</t>
        </is>
      </c>
      <c r="D215" s="26" t="inlineStr">
        <is>
          <t>判定ルール</t>
        </is>
      </c>
      <c r="E215" s="21" t="inlineStr">
        <is>
          <t>インバウンドは長期リードで安値プランに入りやすい。90日超のOTBがベースラインより速く、その大半が低価格帯なら、遠い日の早割・安値プランを停止する。</t>
        </is>
      </c>
      <c r="F215" s="22" t="inlineStr">
        <is>
          <t>90日超で早割停止</t>
        </is>
      </c>
      <c r="G215" s="23" t="inlineStr"/>
      <c r="H215" s="24" t="inlineStr"/>
      <c r="I215" s="18" t="inlineStr">
        <is>
          <t>F-DP-01 / Campaign</t>
        </is>
      </c>
    </row>
    <row r="216" ht="36" customHeight="1">
      <c r="A216" s="17" t="inlineStr">
        <is>
          <t>K-13</t>
        </is>
      </c>
      <c r="B216" s="18" t="inlineStr">
        <is>
          <t>セグメント・団体</t>
        </is>
      </c>
      <c r="C216" s="19" t="inlineStr">
        <is>
          <t>セグメントミックスの計画</t>
        </is>
      </c>
      <c r="D216" s="26" t="inlineStr">
        <is>
          <t>判定ルール</t>
        </is>
      </c>
      <c r="E216" s="21" t="inlineStr">
        <is>
          <t>月・季節ごとに「セグメント別の目標室数比率」を持ち、閑散期は団体・法人でベースを厚く、繁忙期は個人・高単価比率を上げる。実績との差を月次レビュー。</t>
        </is>
      </c>
      <c r="F216" s="22" t="inlineStr">
        <is>
          <t>月別ミックス目標</t>
        </is>
      </c>
      <c r="G216" s="23" t="inlineStr"/>
      <c r="H216" s="24" t="inlineStr"/>
      <c r="I216" s="18" t="inlineStr">
        <is>
          <t>F-SET-05</t>
        </is>
      </c>
    </row>
    <row r="217" ht="36" customHeight="1">
      <c r="A217" s="17" t="inlineStr">
        <is>
          <t>K-14</t>
        </is>
      </c>
      <c r="B217" s="18" t="inlineStr">
        <is>
          <t>セグメント・団体</t>
        </is>
      </c>
      <c r="C217" s="19" t="inlineStr">
        <is>
          <t>団体の影響表示</t>
        </is>
      </c>
      <c r="D217" s="28" t="inlineStr">
        <is>
          <t>説明ルール</t>
        </is>
      </c>
      <c r="E217" s="21" t="inlineStr">
        <is>
          <t>団体が入った日は価格カレンダー・ブッキングカーブ上で団体分を色分けし、個人需要の見え方を分離する。団体込みの稼働で「好調」と誤読させない。</t>
        </is>
      </c>
      <c r="F217" s="22" t="inlineStr">
        <is>
          <t>団体を別色</t>
        </is>
      </c>
      <c r="G217" s="23" t="inlineStr"/>
      <c r="H217" s="24" t="inlineStr"/>
      <c r="I217" s="18" t="inlineStr">
        <is>
          <t>F-DP-01 / F-DAILY-01 / GroupBooking</t>
        </is>
      </c>
    </row>
    <row r="218" ht="36" customHeight="1">
      <c r="A218" s="17" t="inlineStr">
        <is>
          <t>K-15</t>
        </is>
      </c>
      <c r="B218" s="18" t="inlineStr">
        <is>
          <t>セグメント・団体</t>
        </is>
      </c>
      <c r="C218" s="19" t="inlineStr">
        <is>
          <t>団体ルールの未確定事項</t>
        </is>
      </c>
      <c r="D218" s="27" t="inlineStr">
        <is>
          <t>注意</t>
        </is>
      </c>
      <c r="E218" s="21" t="inlineStr">
        <is>
          <t>団体客レベニュー影響ルール（F-SET-05）はクライアント協議中。本カテゴリの数値は汎用初期値であり、協議結果で上書きする。</t>
        </is>
      </c>
      <c r="F218" s="22" t="inlineStr">
        <is>
          <t>—</t>
        </is>
      </c>
      <c r="G218" s="23" t="inlineStr"/>
      <c r="H218" s="24" t="inlineStr"/>
      <c r="I218" s="18" t="inlineStr">
        <is>
          <t>F-SET-05（課題No.53）</t>
        </is>
      </c>
    </row>
    <row r="219" ht="51" customHeight="1">
      <c r="A219" s="17" t="inlineStr">
        <is>
          <t>K-16</t>
        </is>
      </c>
      <c r="B219" s="18" t="inlineStr">
        <is>
          <t>セグメント・団体</t>
        </is>
      </c>
      <c r="C219" s="19" t="inlineStr">
        <is>
          <t>セグメント別予測の分離</t>
        </is>
      </c>
      <c r="D219" s="26" t="inlineStr">
        <is>
          <t>判定ルール</t>
        </is>
      </c>
      <c r="E219" s="21" t="inlineStr">
        <is>
          <t>データが揃えば、セグメント別にブッキングカーブと予測を持ち合算する。混合カーブでは「レジャーが先に作るベース」と「直前に乗るビジネス」が区別できず、直前の伸びを過小評価する。</t>
        </is>
      </c>
      <c r="F219" s="22" t="inlineStr">
        <is>
          <t>—</t>
        </is>
      </c>
      <c r="G219" s="23" t="inlineStr"/>
      <c r="H219" s="24" t="inlineStr"/>
      <c r="I219" s="18" t="inlineStr">
        <is>
          <t>F-DP-05</t>
        </is>
      </c>
    </row>
    <row r="220" ht="22" customHeight="1">
      <c r="A220" s="16" t="inlineStr">
        <is>
          <t>L　利用人数別・部屋タイプ　　（関連: F-ANA-01 / DailyRoomData / DOR）</t>
        </is>
      </c>
    </row>
    <row r="221" ht="36" customHeight="1">
      <c r="A221" s="17" t="inlineStr">
        <is>
          <t>L-01</t>
        </is>
      </c>
      <c r="B221" s="18" t="inlineStr">
        <is>
          <t>利用人数別・部屋タイプ</t>
        </is>
      </c>
      <c r="C221" s="19" t="inlineStr">
        <is>
          <t>利用人数別の分析軸</t>
        </is>
      </c>
      <c r="D221" s="25" t="inlineStr">
        <is>
          <t>定義</t>
        </is>
      </c>
      <c r="E221" s="21" t="inlineStr">
        <is>
          <t>1名・2名・3名以上の3区分で構成比・客単価・ADRを見る。稼働率は人数別には出さない（仕様）。</t>
        </is>
      </c>
      <c r="F221" s="22" t="inlineStr">
        <is>
          <t>3区分</t>
        </is>
      </c>
      <c r="G221" s="23" t="inlineStr"/>
      <c r="H221" s="24" t="inlineStr"/>
      <c r="I221" s="18" t="inlineStr">
        <is>
          <t>F-ANA-01</t>
        </is>
      </c>
    </row>
    <row r="222" ht="36" customHeight="1">
      <c r="A222" s="17" t="inlineStr">
        <is>
          <t>L-02</t>
        </is>
      </c>
      <c r="B222" s="18" t="inlineStr">
        <is>
          <t>利用人数別・部屋タイプ</t>
        </is>
      </c>
      <c r="C222" s="19" t="inlineStr">
        <is>
          <t>人数構成と売上</t>
        </is>
      </c>
      <c r="D222" s="20" t="inlineStr">
        <is>
          <t>計算式</t>
        </is>
      </c>
      <c r="E222" s="21" t="inlineStr">
        <is>
          <t>客室売上 = Σ(人数区分別室数 × 区分別価格)。同じ稼働でも2名以上比率が上がれば売上が増える。DORの変化はRevPARの説明要因に含める。</t>
        </is>
      </c>
      <c r="F222" s="22" t="inlineStr">
        <is>
          <t>—</t>
        </is>
      </c>
      <c r="G222" s="23" t="inlineStr"/>
      <c r="H222" s="24" t="inlineStr"/>
      <c r="I222" s="18" t="inlineStr">
        <is>
          <t>DOR / F-ANA-01</t>
        </is>
      </c>
    </row>
    <row r="223" ht="36" customHeight="1">
      <c r="A223" s="17" t="inlineStr">
        <is>
          <t>L-03</t>
        </is>
      </c>
      <c r="B223" s="18" t="inlineStr">
        <is>
          <t>利用人数別・部屋タイプ</t>
        </is>
      </c>
      <c r="C223" s="19" t="inlineStr">
        <is>
          <t>平日1名・週末2名の典型</t>
        </is>
      </c>
      <c r="D223" s="26" t="inlineStr">
        <is>
          <t>判定ルール</t>
        </is>
      </c>
      <c r="E223" s="21" t="inlineStr">
        <is>
          <t>都市型は平日1名比率60〜80%、週末2名以上比率60%以上が典型。曜日別の構成比が崩れたら（週末に1名が増える等）需要の質の変化として要因確認。</t>
        </is>
      </c>
      <c r="F223" s="22" t="inlineStr">
        <is>
          <t>—</t>
        </is>
      </c>
      <c r="G223" s="23" t="inlineStr"/>
      <c r="H223" s="24" t="inlineStr"/>
      <c r="I223" s="18" t="inlineStr">
        <is>
          <t>F-ANA-01</t>
        </is>
      </c>
    </row>
    <row r="224" ht="51" customHeight="1">
      <c r="A224" s="17" t="inlineStr">
        <is>
          <t>L-04</t>
        </is>
      </c>
      <c r="B224" s="18" t="inlineStr">
        <is>
          <t>利用人数別・部屋タイプ</t>
        </is>
      </c>
      <c r="C224" s="19" t="inlineStr">
        <is>
          <t>人数別価格の推奨</t>
        </is>
      </c>
      <c r="D224" s="26" t="inlineStr">
        <is>
          <t>判定ルール</t>
        </is>
      </c>
      <c r="E224" s="21" t="inlineStr">
        <is>
          <t>推奨ランクは共通で、1P/2P/3Pの価格差はランク表の比率に従う。ただし週末に1名需要が強いホテルは、1Pの比率を高めに（2P ÷ 1P を1.5に近づける）設定してもよい。</t>
        </is>
      </c>
      <c r="F224" s="22" t="inlineStr">
        <is>
          <t>—</t>
        </is>
      </c>
      <c r="G224" s="23" t="inlineStr"/>
      <c r="H224" s="24" t="inlineStr"/>
      <c r="I224" s="18" t="inlineStr">
        <is>
          <t>PriceRank / F-DP-01</t>
        </is>
      </c>
    </row>
    <row r="225" ht="36" customHeight="1">
      <c r="A225" s="17" t="inlineStr">
        <is>
          <t>L-05</t>
        </is>
      </c>
      <c r="B225" s="18" t="inlineStr">
        <is>
          <t>利用人数別・部屋タイプ</t>
        </is>
      </c>
      <c r="C225" s="19" t="inlineStr">
        <is>
          <t>人数別競合比較</t>
        </is>
      </c>
      <c r="D225" s="26" t="inlineStr">
        <is>
          <t>判定ルール</t>
        </is>
      </c>
      <c r="E225" s="21" t="inlineStr">
        <is>
          <t>競合比較は同じ人数条件で行う。自館の2P価格と競合の1P価格を並べない。3名以上は部屋タイプが変わるため、比較可能な施設だけで見る。</t>
        </is>
      </c>
      <c r="F225" s="22" t="inlineStr">
        <is>
          <t>同人数条件</t>
        </is>
      </c>
      <c r="G225" s="23" t="inlineStr"/>
      <c r="H225" s="24" t="inlineStr"/>
      <c r="I225" s="18" t="inlineStr">
        <is>
          <t>F-DAILY-03</t>
        </is>
      </c>
    </row>
    <row r="226" ht="36" customHeight="1">
      <c r="A226" s="17" t="inlineStr">
        <is>
          <t>L-06</t>
        </is>
      </c>
      <c r="B226" s="18" t="inlineStr">
        <is>
          <t>利用人数別・部屋タイプ</t>
        </is>
      </c>
      <c r="C226" s="19" t="inlineStr">
        <is>
          <t>部屋タイプ別の稼働偏り</t>
        </is>
      </c>
      <c r="D226" s="26" t="inlineStr">
        <is>
          <t>判定ルール</t>
        </is>
      </c>
      <c r="E226" s="21" t="inlineStr">
        <is>
          <t>下位タイプの稼働が上位より20pt以上高い状態が続くなら、価格差が大きすぎる。差を縮めるか下位タイプの価格を上げる。</t>
        </is>
      </c>
      <c r="F226" s="22" t="inlineStr">
        <is>
          <t>稼働差 20pt</t>
        </is>
      </c>
      <c r="G226" s="23" t="inlineStr"/>
      <c r="H226" s="24" t="inlineStr"/>
      <c r="I226" s="18" t="inlineStr">
        <is>
          <t>DailyRoomData / RoomType</t>
        </is>
      </c>
    </row>
    <row r="227" ht="36" customHeight="1">
      <c r="A227" s="17" t="inlineStr">
        <is>
          <t>L-07</t>
        </is>
      </c>
      <c r="B227" s="18" t="inlineStr">
        <is>
          <t>利用人数別・部屋タイプ</t>
        </is>
      </c>
      <c r="C227" s="19" t="inlineStr">
        <is>
          <t>アップセル導線</t>
        </is>
      </c>
      <c r="D227" s="29" t="inlineStr">
        <is>
          <t>アクション</t>
        </is>
      </c>
      <c r="E227" s="21" t="inlineStr">
        <is>
          <t>下位タイプ完売時の上位への誘導（差額提示）と、チェックイン時アップセルの標準単価を持つ。繁忙日は差額を小さく、閑散日は上位を割安に見せる。</t>
        </is>
      </c>
      <c r="F227" s="22" t="inlineStr">
        <is>
          <t>—</t>
        </is>
      </c>
      <c r="G227" s="23" t="inlineStr"/>
      <c r="H227" s="24" t="inlineStr"/>
      <c r="I227" s="18" t="inlineStr">
        <is>
          <t>RoomType</t>
        </is>
      </c>
    </row>
    <row r="228" ht="36" customHeight="1">
      <c r="A228" s="17" t="inlineStr">
        <is>
          <t>L-08</t>
        </is>
      </c>
      <c r="B228" s="18" t="inlineStr">
        <is>
          <t>利用人数別・部屋タイプ</t>
        </is>
      </c>
      <c r="C228" s="19" t="inlineStr">
        <is>
          <t>客単価の推移</t>
        </is>
      </c>
      <c r="D228" s="26" t="inlineStr">
        <is>
          <t>判定ルール</t>
        </is>
      </c>
      <c r="E228" s="21" t="inlineStr">
        <is>
          <t>客単価（人単価）が下がり続けるときは、多人数利用の増加（構成変化）か値下げ（価格変化）かを分解する。構成変化なら健全な場合もある。</t>
        </is>
      </c>
      <c r="F228" s="22" t="inlineStr">
        <is>
          <t>—</t>
        </is>
      </c>
      <c r="G228" s="23" t="inlineStr"/>
      <c r="H228" s="24" t="inlineStr"/>
      <c r="I228" s="18" t="inlineStr">
        <is>
          <t>F-DASH-01 客単価</t>
        </is>
      </c>
    </row>
    <row r="229" ht="36" customHeight="1">
      <c r="A229" s="17" t="inlineStr">
        <is>
          <t>L-09</t>
        </is>
      </c>
      <c r="B229" s="18" t="inlineStr">
        <is>
          <t>利用人数別・部屋タイプ</t>
        </is>
      </c>
      <c r="C229" s="19" t="inlineStr">
        <is>
          <t>定員超過・添い寝</t>
        </is>
      </c>
      <c r="D229" s="27" t="inlineStr">
        <is>
          <t>注意</t>
        </is>
      </c>
      <c r="E229" s="21" t="inlineStr">
        <is>
          <t>添い寝・幼児無料の扱いは人数集計ルールを明示し、DOR・客単価の前年比較で定義変更による段差を作らない。</t>
        </is>
      </c>
      <c r="F229" s="22" t="inlineStr">
        <is>
          <t>—</t>
        </is>
      </c>
      <c r="G229" s="23" t="inlineStr"/>
      <c r="H229" s="24" t="inlineStr"/>
      <c r="I229" s="18" t="inlineStr">
        <is>
          <t>DailyData.guests</t>
        </is>
      </c>
    </row>
    <row r="230" ht="36" customHeight="1">
      <c r="A230" s="17" t="inlineStr">
        <is>
          <t>L-10</t>
        </is>
      </c>
      <c r="B230" s="18" t="inlineStr">
        <is>
          <t>利用人数別・部屋タイプ</t>
        </is>
      </c>
      <c r="C230" s="19" t="inlineStr">
        <is>
          <t>部屋タイプ別データの段階導入</t>
        </is>
      </c>
      <c r="D230" s="27" t="inlineStr">
        <is>
          <t>注意</t>
        </is>
      </c>
      <c r="E230" s="21" t="inlineStr">
        <is>
          <t>部屋タイプ別実績（DailyRoomData）が揃うまでは全体推奨＋差額ルールで運用し、揃った時点でタイプ別推奨に切り替える。切替時点を記録する。</t>
        </is>
      </c>
      <c r="F230" s="22" t="inlineStr">
        <is>
          <t>—</t>
        </is>
      </c>
      <c r="G230" s="23" t="inlineStr"/>
      <c r="H230" s="24" t="inlineStr"/>
      <c r="I230" s="18" t="inlineStr">
        <is>
          <t>DailyRoomData / AiPriceRecommendation.roomTypeId</t>
        </is>
      </c>
    </row>
    <row r="231" ht="22" customHeight="1">
      <c r="A231" s="16" t="inlineStr">
        <is>
          <t>M　フォーキャスト・予算・着地　　（関連: F-DP-04 / F-DASH-02 / MonthlyBudget / MonthlyLandingSimulation）</t>
        </is>
      </c>
    </row>
    <row r="232" ht="51" customHeight="1">
      <c r="A232" s="17" t="inlineStr">
        <is>
          <t>M-01</t>
        </is>
      </c>
      <c r="B232" s="18" t="inlineStr">
        <is>
          <t>フォーキャスト・予算・着地</t>
        </is>
      </c>
      <c r="C232" s="19" t="inlineStr">
        <is>
          <t>月間着地の定義</t>
        </is>
      </c>
      <c r="D232" s="20" t="inlineStr">
        <is>
          <t>計算式</t>
        </is>
      </c>
      <c r="E232" s="21" t="inlineStr">
        <is>
          <t>月間着地 = Σ日別（実績確定日は実績、未来日は予測）。売上・室数・ADR・OCC・RevPARを併記する。ADRとRevPARは必ず併記（仕様）。</t>
        </is>
      </c>
      <c r="F232" s="22" t="inlineStr">
        <is>
          <t>—</t>
        </is>
      </c>
      <c r="G232" s="23" t="inlineStr"/>
      <c r="H232" s="24" t="inlineStr"/>
      <c r="I232" s="18" t="inlineStr">
        <is>
          <t>F-DP-04 / MonthlyLandingSimulation</t>
        </is>
      </c>
    </row>
    <row r="233" ht="51" customHeight="1">
      <c r="A233" s="17" t="inlineStr">
        <is>
          <t>M-02</t>
        </is>
      </c>
      <c r="B233" s="18" t="inlineStr">
        <is>
          <t>フォーキャスト・予算・着地</t>
        </is>
      </c>
      <c r="C233" s="19" t="inlineStr">
        <is>
          <t>着地の3シナリオ</t>
        </is>
      </c>
      <c r="D233" s="20" t="inlineStr">
        <is>
          <t>計算式</t>
        </is>
      </c>
      <c r="E233" s="21" t="inlineStr">
        <is>
          <t>基準（予測どおり）、弱気（残ピックアップ −20%）、強気（＋20%）の3本を出し、予算達成に必要なシナリオを明示する。単一値の着地は外れたときに議論にならない。</t>
        </is>
      </c>
      <c r="F233" s="22" t="inlineStr">
        <is>
          <t>±20%</t>
        </is>
      </c>
      <c r="G233" s="23" t="inlineStr"/>
      <c r="H233" s="24" t="inlineStr"/>
      <c r="I233" s="18" t="inlineStr">
        <is>
          <t>F-DP-04</t>
        </is>
      </c>
    </row>
    <row r="234" ht="51" customHeight="1">
      <c r="A234" s="17" t="inlineStr">
        <is>
          <t>M-03</t>
        </is>
      </c>
      <c r="B234" s="18" t="inlineStr">
        <is>
          <t>フォーキャスト・予算・着地</t>
        </is>
      </c>
      <c r="C234" s="19" t="inlineStr">
        <is>
          <t>予算差の分解</t>
        </is>
      </c>
      <c r="D234" s="20" t="inlineStr">
        <is>
          <t>計算式</t>
        </is>
      </c>
      <c r="E234" s="21" t="inlineStr">
        <is>
          <t>売上差 = (実績室数 − 予算室数) × 予算ADR ＋ (実績ADR − 予算ADR) × 実績室数。数量要因と価格要因に分けて打ち手を決める。</t>
        </is>
      </c>
      <c r="F234" s="22" t="inlineStr">
        <is>
          <t>—</t>
        </is>
      </c>
      <c r="G234" s="23" t="inlineStr"/>
      <c r="H234" s="24" t="inlineStr"/>
      <c r="I234" s="18" t="inlineStr">
        <is>
          <t>F-DASH-02</t>
        </is>
      </c>
    </row>
    <row r="235" ht="36" customHeight="1">
      <c r="A235" s="17" t="inlineStr">
        <is>
          <t>M-04</t>
        </is>
      </c>
      <c r="B235" s="18" t="inlineStr">
        <is>
          <t>フォーキャスト・予算・着地</t>
        </is>
      </c>
      <c r="C235" s="19" t="inlineStr">
        <is>
          <t>再フォーキャストの頻度</t>
        </is>
      </c>
      <c r="D235" s="26" t="inlineStr">
        <is>
          <t>判定ルール</t>
        </is>
      </c>
      <c r="E235" s="21" t="inlineStr">
        <is>
          <t>月間着地は日次で自動更新、週次で人が確認・コメント。月の前半に予算未達が見えたら15日までに対策を決める（残り半月で打てる手は限られる）。</t>
        </is>
      </c>
      <c r="F235" s="22" t="inlineStr">
        <is>
          <t>日次自動・週次確認・15日判断</t>
        </is>
      </c>
      <c r="G235" s="23" t="inlineStr"/>
      <c r="H235" s="24" t="inlineStr"/>
      <c r="I235" s="18" t="inlineStr">
        <is>
          <t>P</t>
        </is>
      </c>
    </row>
    <row r="236" ht="36" customHeight="1">
      <c r="A236" s="17" t="inlineStr">
        <is>
          <t>M-05</t>
        </is>
      </c>
      <c r="B236" s="18" t="inlineStr">
        <is>
          <t>フォーキャスト・予算・着地</t>
        </is>
      </c>
      <c r="C236" s="19" t="inlineStr">
        <is>
          <t>フォーキャスト精度の目標</t>
        </is>
      </c>
      <c r="D236" s="26" t="inlineStr">
        <is>
          <t>判定ルール</t>
        </is>
      </c>
      <c r="E236" s="21" t="inlineStr">
        <is>
          <t>月初時点の月間売上予測の誤差 ±5%以内、15日時点 ±3%以内を目標。外れ幅が目標を超えた月は要因（イベント・団体・予測癖）を記録する。</t>
        </is>
      </c>
      <c r="F236" s="22" t="inlineStr">
        <is>
          <t>月初 ±5% / 15日 ±3%</t>
        </is>
      </c>
      <c r="G236" s="23" t="inlineStr"/>
      <c r="H236" s="24" t="inlineStr"/>
      <c r="I236" s="18" t="inlineStr">
        <is>
          <t>F-DP-04</t>
        </is>
      </c>
    </row>
    <row r="237" ht="36" customHeight="1">
      <c r="A237" s="17" t="inlineStr">
        <is>
          <t>M-06</t>
        </is>
      </c>
      <c r="B237" s="18" t="inlineStr">
        <is>
          <t>フォーキャスト・予算・着地</t>
        </is>
      </c>
      <c r="C237" s="19" t="inlineStr">
        <is>
          <t>予算の設定原則</t>
        </is>
      </c>
      <c r="D237" s="26" t="inlineStr">
        <is>
          <t>判定ルール</t>
        </is>
      </c>
      <c r="E237" s="21" t="inlineStr">
        <is>
          <t>予算は前年実績 × 市場成長率 × 自館施策効果で日別（少なくとも曜日別）に配賦する。月合計だけの予算では日別の進捗管理ができない。</t>
        </is>
      </c>
      <c r="F237" s="22" t="inlineStr">
        <is>
          <t>日別配賦</t>
        </is>
      </c>
      <c r="G237" s="23" t="inlineStr"/>
      <c r="H237" s="24" t="inlineStr"/>
      <c r="I237" s="18" t="inlineStr">
        <is>
          <t>F-SET-04 / MonthlyBudget</t>
        </is>
      </c>
    </row>
    <row r="238" ht="51" customHeight="1">
      <c r="A238" s="17" t="inlineStr">
        <is>
          <t>M-07</t>
        </is>
      </c>
      <c r="B238" s="18" t="inlineStr">
        <is>
          <t>フォーキャスト・予算・着地</t>
        </is>
      </c>
      <c r="C238" s="19" t="inlineStr">
        <is>
          <t>前年実績の補正</t>
        </is>
      </c>
      <c r="D238" s="26" t="inlineStr">
        <is>
          <t>判定ルール</t>
        </is>
      </c>
      <c r="E238" s="21" t="inlineStr">
        <is>
          <t>予算・前年比の前年実績は、曜日ずれ（364日）、前年の異常日（イベント・断絶）を補正した「比較可能前年」を別に持つ。生の前年と補正前年を切り替えて表示できるようにする。</t>
        </is>
      </c>
      <c r="F238" s="22" t="inlineStr">
        <is>
          <t>補正前年を別保持</t>
        </is>
      </c>
      <c r="G238" s="23" t="inlineStr"/>
      <c r="H238" s="24" t="inlineStr"/>
      <c r="I238" s="18" t="inlineStr">
        <is>
          <t>MonthlyBudget（前年実績）</t>
        </is>
      </c>
    </row>
    <row r="239" ht="36" customHeight="1">
      <c r="A239" s="17" t="inlineStr">
        <is>
          <t>M-08</t>
        </is>
      </c>
      <c r="B239" s="18" t="inlineStr">
        <is>
          <t>フォーキャスト・予算・着地</t>
        </is>
      </c>
      <c r="C239" s="19" t="inlineStr">
        <is>
          <t>年度累計の扱い</t>
        </is>
      </c>
      <c r="D239" s="25" t="inlineStr">
        <is>
          <t>定義</t>
        </is>
      </c>
      <c r="E239" s="21" t="inlineStr">
        <is>
          <t>年度は4月始まり。年度累計の達成率は「年度予算に対する累計実績＋当月着地」で示し、月次の達成率と混同しない。</t>
        </is>
      </c>
      <c r="F239" s="22" t="inlineStr">
        <is>
          <t>4月始まり</t>
        </is>
      </c>
      <c r="G239" s="23" t="inlineStr"/>
      <c r="H239" s="24" t="inlineStr"/>
      <c r="I239" s="18" t="inlineStr">
        <is>
          <t>F-DASH-02</t>
        </is>
      </c>
    </row>
    <row r="240" ht="51" customHeight="1">
      <c r="A240" s="17" t="inlineStr">
        <is>
          <t>M-09</t>
        </is>
      </c>
      <c r="B240" s="18" t="inlineStr">
        <is>
          <t>フォーキャスト・予算・着地</t>
        </is>
      </c>
      <c r="C240" s="19" t="inlineStr">
        <is>
          <t>着地未達時の打ち手</t>
        </is>
      </c>
      <c r="D240" s="29" t="inlineStr">
        <is>
          <t>アクション</t>
        </is>
      </c>
      <c r="E240" s="21" t="inlineStr">
        <is>
          <t>残リードタイムが長い（15日以上）: プラン・露出・チャネル施策。短い（15日未満）: 直前需要の取り込み・法人/団体の追加受入・当日販売。値下げは最後。打ち手ごとの期待効果を着地シナリオに反映する。</t>
        </is>
      </c>
      <c r="F240" s="22" t="inlineStr">
        <is>
          <t>15日で切替</t>
        </is>
      </c>
      <c r="G240" s="23" t="inlineStr"/>
      <c r="H240" s="24" t="inlineStr"/>
      <c r="I240" s="18" t="inlineStr">
        <is>
          <t>F-DP-04 / F-DASH-06</t>
        </is>
      </c>
    </row>
    <row r="241" ht="36" customHeight="1">
      <c r="A241" s="17" t="inlineStr">
        <is>
          <t>M-10</t>
        </is>
      </c>
      <c r="B241" s="18" t="inlineStr">
        <is>
          <t>フォーキャスト・予算・着地</t>
        </is>
      </c>
      <c r="C241" s="19" t="inlineStr">
        <is>
          <t>着地超過時の打ち手</t>
        </is>
      </c>
      <c r="D241" s="29" t="inlineStr">
        <is>
          <t>アクション</t>
        </is>
      </c>
      <c r="E241" s="21" t="inlineStr">
        <is>
          <t>予算超過見込みの月は、残日程の価格を上げて単価を取る（稼働を追わない）。超過分を翌月の弱い日に回す施策（連泊・翌月早割）も検討。</t>
        </is>
      </c>
      <c r="F241" s="22" t="inlineStr">
        <is>
          <t>—</t>
        </is>
      </c>
      <c r="G241" s="23" t="inlineStr"/>
      <c r="H241" s="24" t="inlineStr"/>
      <c r="I241" s="18" t="inlineStr">
        <is>
          <t>F-DP-04</t>
        </is>
      </c>
    </row>
    <row r="242" ht="51" customHeight="1">
      <c r="A242" s="17" t="inlineStr">
        <is>
          <t>M-11</t>
        </is>
      </c>
      <c r="B242" s="18" t="inlineStr">
        <is>
          <t>フォーキャスト・予算・着地</t>
        </is>
      </c>
      <c r="C242" s="19" t="inlineStr">
        <is>
          <t>KPIスナップショット</t>
        </is>
      </c>
      <c r="D242" s="25" t="inlineStr">
        <is>
          <t>定義</t>
        </is>
      </c>
      <c r="E242" s="21" t="inlineStr">
        <is>
          <t>月初・毎週月曜・15日時点のKPI（OTB・予測着地・予算比）を凍結保存し、月初比較・日付比較に使う。動く数値だけでは「いつ・何が変わったか」が追えない。</t>
        </is>
      </c>
      <c r="F242" s="22" t="inlineStr">
        <is>
          <t>月初・週次・15日</t>
        </is>
      </c>
      <c r="G242" s="23" t="inlineStr"/>
      <c r="H242" s="24" t="inlineStr"/>
      <c r="I242" s="18" t="inlineStr">
        <is>
          <t>F-DASH-04 / KpiSnapshot</t>
        </is>
      </c>
    </row>
    <row r="243" ht="36" customHeight="1">
      <c r="A243" s="17" t="inlineStr">
        <is>
          <t>M-12</t>
        </is>
      </c>
      <c r="B243" s="18" t="inlineStr">
        <is>
          <t>フォーキャスト・予算・着地</t>
        </is>
      </c>
      <c r="C243" s="19" t="inlineStr">
        <is>
          <t>予算比の表示ルール</t>
        </is>
      </c>
      <c r="D243" s="28" t="inlineStr">
        <is>
          <t>説明ルール</t>
        </is>
      </c>
      <c r="E243" s="21" t="inlineStr">
        <is>
          <t>予算比・前年比は必ず同じ軸（本日まで／累計進捗／年度累計）で売上・ADR・OCCを揃えて表示する。軸の異なる数字を並べない（仕様）。</t>
        </is>
      </c>
      <c r="F243" s="22" t="inlineStr">
        <is>
          <t>—</t>
        </is>
      </c>
      <c r="G243" s="23" t="inlineStr"/>
      <c r="H243" s="24" t="inlineStr"/>
      <c r="I243" s="18" t="inlineStr">
        <is>
          <t>F-DASH-02</t>
        </is>
      </c>
    </row>
    <row r="244" ht="36" customHeight="1">
      <c r="A244" s="17" t="inlineStr">
        <is>
          <t>M-13</t>
        </is>
      </c>
      <c r="B244" s="18" t="inlineStr">
        <is>
          <t>フォーキャスト・予算・着地</t>
        </is>
      </c>
      <c r="C244" s="19" t="inlineStr">
        <is>
          <t>翌月・翌四半期の見通し</t>
        </is>
      </c>
      <c r="D244" s="26" t="inlineStr">
        <is>
          <t>判定ルール</t>
        </is>
      </c>
      <c r="E244" s="21" t="inlineStr">
        <is>
          <t>当月だけでなく翌月〜3か月先の着地見込み（ベースライン主体）を持ち、早期に弱い月を特定して販促・団体営業に着手する。</t>
        </is>
      </c>
      <c r="F244" s="22" t="inlineStr">
        <is>
          <t>3か月先まで</t>
        </is>
      </c>
      <c r="G244" s="23" t="inlineStr"/>
      <c r="H244" s="24" t="inlineStr"/>
      <c r="I244" s="18" t="inlineStr">
        <is>
          <t>F-DP-04 / F-ANA-03</t>
        </is>
      </c>
    </row>
    <row r="245" ht="36" customHeight="1">
      <c r="A245" s="17" t="inlineStr">
        <is>
          <t>M-14</t>
        </is>
      </c>
      <c r="B245" s="18" t="inlineStr">
        <is>
          <t>フォーキャスト・予算・着地</t>
        </is>
      </c>
      <c r="C245" s="19" t="inlineStr">
        <is>
          <t>フォーキャストの他部門共有</t>
        </is>
      </c>
      <c r="D245" s="29" t="inlineStr">
        <is>
          <t>アクション</t>
        </is>
      </c>
      <c r="E245" s="21" t="inlineStr">
        <is>
          <t>週次フォーキャスト（日別予測稼働・人数）を料飲・清掃・フロントの人員計画に共有する。予測精度は客室以外のコストにも効く。</t>
        </is>
      </c>
      <c r="F245" s="22" t="inlineStr">
        <is>
          <t>週次共有</t>
        </is>
      </c>
      <c r="G245" s="23" t="inlineStr"/>
      <c r="H245" s="24" t="inlineStr"/>
      <c r="I245" s="18" t="inlineStr">
        <is>
          <t>F-REP-01</t>
        </is>
      </c>
    </row>
    <row r="246" ht="36" customHeight="1">
      <c r="A246" s="17" t="inlineStr">
        <is>
          <t>M-15</t>
        </is>
      </c>
      <c r="B246" s="18" t="inlineStr">
        <is>
          <t>フォーキャスト・予算・着地</t>
        </is>
      </c>
      <c r="C246" s="19" t="inlineStr">
        <is>
          <t>予測着地と実績のギャップ記録</t>
        </is>
      </c>
      <c r="D246" s="27" t="inlineStr">
        <is>
          <t>注意</t>
        </is>
      </c>
      <c r="E246" s="21" t="inlineStr">
        <is>
          <t>月末に「月初予測・15日予測・実績」の3値を保存し、精度推移をグラフ化する。予測が信用されるのはこの記録があるとき。</t>
        </is>
      </c>
      <c r="F246" s="22" t="inlineStr">
        <is>
          <t>—</t>
        </is>
      </c>
      <c r="G246" s="23" t="inlineStr"/>
      <c r="H246" s="24" t="inlineStr"/>
      <c r="I246" s="18" t="inlineStr">
        <is>
          <t>F-DP-04 / KpiSnapshot</t>
        </is>
      </c>
    </row>
    <row r="247" ht="36" customHeight="1">
      <c r="A247" s="17" t="inlineStr">
        <is>
          <t>M-16</t>
        </is>
      </c>
      <c r="B247" s="18" t="inlineStr">
        <is>
          <t>フォーキャスト・予算・着地</t>
        </is>
      </c>
      <c r="C247" s="19" t="inlineStr">
        <is>
          <t>着地の説明文</t>
        </is>
      </c>
      <c r="D247" s="28" t="inlineStr">
        <is>
          <t>説明ルール</t>
        </is>
      </c>
      <c r="E247" s="21" t="inlineStr">
        <is>
          <t>着地見込みの説明は「予算比○%、主因は○（数量/価格）、残○日で必要な日次ピックアップ○室」の形で、必要ピックアップを必ず含める。</t>
        </is>
      </c>
      <c r="F247" s="22" t="inlineStr">
        <is>
          <t>—</t>
        </is>
      </c>
      <c r="G247" s="23" t="inlineStr"/>
      <c r="H247" s="24" t="inlineStr"/>
      <c r="I247" s="18" t="inlineStr">
        <is>
          <t>F-DASH-06</t>
        </is>
      </c>
    </row>
    <row r="248" ht="22" customHeight="1">
      <c r="A248" s="16" t="inlineStr">
        <is>
          <t>N　アラート・例外検知　　（関連: F-DASH-05 / Alert（Level 1〜5））</t>
        </is>
      </c>
    </row>
    <row r="249" ht="51" customHeight="1">
      <c r="A249" s="17" t="inlineStr">
        <is>
          <t>N-01</t>
        </is>
      </c>
      <c r="B249" s="18" t="inlineStr">
        <is>
          <t>アラート・例外検知</t>
        </is>
      </c>
      <c r="C249" s="19" t="inlineStr">
        <is>
          <t>アラート重要度の定義</t>
        </is>
      </c>
      <c r="D249" s="25" t="inlineStr">
        <is>
          <t>定義</t>
        </is>
      </c>
      <c r="E249" s="21" t="inlineStr">
        <is>
          <t>Level 5 = 即日対応（機会損失・大量キャンセル・データ断）、4 = 当日中対応、3 = 週次会議で確認、2 = 参考、1 = 情報。ダッシュボードには5・4のみ表示し、該当画面へリンク。</t>
        </is>
      </c>
      <c r="F249" s="22" t="inlineStr">
        <is>
          <t>5段階、表示は4以上</t>
        </is>
      </c>
      <c r="G249" s="23" t="inlineStr"/>
      <c r="H249" s="24" t="inlineStr"/>
      <c r="I249" s="18" t="inlineStr">
        <is>
          <t>F-DASH-05 / Alert.level</t>
        </is>
      </c>
    </row>
    <row r="250" ht="51" customHeight="1">
      <c r="A250" s="17" t="inlineStr">
        <is>
          <t>N-02</t>
        </is>
      </c>
      <c r="B250" s="18" t="inlineStr">
        <is>
          <t>アラート・例外検知</t>
        </is>
      </c>
      <c r="C250" s="19" t="inlineStr">
        <is>
          <t>ペース異常（速い）</t>
        </is>
      </c>
      <c r="D250" s="26" t="inlineStr">
        <is>
          <t>判定ルール</t>
        </is>
      </c>
      <c r="E250" s="21" t="inlineStr">
        <is>
          <t>同リードタイムSTLY比 +30%以上、または目標カーブを15pt以上上回る日 → Level 4「値上げ検討」。残在庫 ≤10% なら Level 5。</t>
        </is>
      </c>
      <c r="F250" s="22" t="inlineStr">
        <is>
          <t>+30% / 15pt</t>
        </is>
      </c>
      <c r="G250" s="23" t="inlineStr"/>
      <c r="H250" s="24" t="inlineStr"/>
      <c r="I250" s="18" t="inlineStr">
        <is>
          <t>F-DAILY-01</t>
        </is>
      </c>
    </row>
    <row r="251" ht="51" customHeight="1">
      <c r="A251" s="17" t="inlineStr">
        <is>
          <t>N-03</t>
        </is>
      </c>
      <c r="B251" s="18" t="inlineStr">
        <is>
          <t>アラート・例外検知</t>
        </is>
      </c>
      <c r="C251" s="19" t="inlineStr">
        <is>
          <t>ペース異常（遅い）</t>
        </is>
      </c>
      <c r="D251" s="26" t="inlineStr">
        <is>
          <t>判定ルール</t>
        </is>
      </c>
      <c r="E251" s="21" t="inlineStr">
        <is>
          <t>STLY比 −30%以下、または目標カーブを15pt以上下回る日が7日以内にある → Level 4「原因確認・販促」。30日以内なら Level 3。</t>
        </is>
      </c>
      <c r="F251" s="22" t="inlineStr">
        <is>
          <t>−30% / 15pt</t>
        </is>
      </c>
      <c r="G251" s="23" t="inlineStr"/>
      <c r="H251" s="24" t="inlineStr"/>
      <c r="I251" s="18" t="inlineStr">
        <is>
          <t>F-DAILY-01</t>
        </is>
      </c>
    </row>
    <row r="252" ht="36" customHeight="1">
      <c r="A252" s="17" t="inlineStr">
        <is>
          <t>N-04</t>
        </is>
      </c>
      <c r="B252" s="18" t="inlineStr">
        <is>
          <t>アラート・例外検知</t>
        </is>
      </c>
      <c r="C252" s="19" t="inlineStr">
        <is>
          <t>ピックアップ急増</t>
        </is>
      </c>
      <c r="D252" s="26" t="inlineStr">
        <is>
          <t>判定ルール</t>
        </is>
      </c>
      <c r="E252" s="21" t="inlineStr">
        <is>
          <t>日次ピックアップが同曜日平均の3倍以上 → Level 4。イベント・団体・競合売止めの発生を疑い、価格見直しを促す。</t>
        </is>
      </c>
      <c r="F252" s="22" t="inlineStr">
        <is>
          <t>3倍</t>
        </is>
      </c>
      <c r="G252" s="23" t="inlineStr"/>
      <c r="H252" s="24" t="inlineStr"/>
      <c r="I252" s="18" t="inlineStr">
        <is>
          <t>BookingCurveData</t>
        </is>
      </c>
    </row>
    <row r="253" ht="51" customHeight="1">
      <c r="A253" s="17" t="inlineStr">
        <is>
          <t>N-05</t>
        </is>
      </c>
      <c r="B253" s="18" t="inlineStr">
        <is>
          <t>アラート・例外検知</t>
        </is>
      </c>
      <c r="C253" s="19" t="inlineStr">
        <is>
          <t>キャンセル急増</t>
        </is>
      </c>
      <c r="D253" s="26" t="inlineStr">
        <is>
          <t>判定ルール</t>
        </is>
      </c>
      <c r="E253" s="21" t="inlineStr">
        <is>
          <t>日次キャンセルが総在庫の5%以上、または同曜日平均の3倍 → Level 5。イベント中止・天候・団体キャンセルを確認し、戻り在庫の販売方針を即決。</t>
        </is>
      </c>
      <c r="F253" s="22" t="inlineStr">
        <is>
          <t>5% or 3倍</t>
        </is>
      </c>
      <c r="G253" s="23" t="inlineStr"/>
      <c r="H253" s="24" t="inlineStr"/>
      <c r="I253" s="18" t="inlineStr">
        <is>
          <t>BookingCurveData</t>
        </is>
      </c>
    </row>
    <row r="254" ht="36" customHeight="1">
      <c r="A254" s="17" t="inlineStr">
        <is>
          <t>N-06</t>
        </is>
      </c>
      <c r="B254" s="18" t="inlineStr">
        <is>
          <t>アラート・例外検知</t>
        </is>
      </c>
      <c r="C254" s="19" t="inlineStr">
        <is>
          <t>競合の大きな動き</t>
        </is>
      </c>
      <c r="D254" s="26" t="inlineStr">
        <is>
          <t>判定ルール</t>
        </is>
      </c>
      <c r="E254" s="21" t="inlineStr">
        <is>
          <t>コンプセット中央値の前日比 ±8%以上、または過半数の同方向変動 → Level 3。過半数売止め → Level 4（値上げ余地）。</t>
        </is>
      </c>
      <c r="F254" s="22" t="inlineStr">
        <is>
          <t>±8% / 過半数</t>
        </is>
      </c>
      <c r="G254" s="23" t="inlineStr"/>
      <c r="H254" s="24" t="inlineStr"/>
      <c r="I254" s="18" t="inlineStr">
        <is>
          <t>CompetitorPriceData</t>
        </is>
      </c>
    </row>
    <row r="255" ht="36" customHeight="1">
      <c r="A255" s="17" t="inlineStr">
        <is>
          <t>N-07</t>
        </is>
      </c>
      <c r="B255" s="18" t="inlineStr">
        <is>
          <t>アラート・例外検知</t>
        </is>
      </c>
      <c r="C255" s="19" t="inlineStr">
        <is>
          <t>レートパリティ崩れ</t>
        </is>
      </c>
      <c r="D255" s="26" t="inlineStr">
        <is>
          <t>判定ルール</t>
        </is>
      </c>
      <c r="E255" s="21" t="inlineStr">
        <is>
          <t>自館の同条件価格がチャネル間で ±3%以上ずれ → Level 4。ベストレート保証違反・OTA順位低下のリスク。</t>
        </is>
      </c>
      <c r="F255" s="22" t="inlineStr">
        <is>
          <t>±3%</t>
        </is>
      </c>
      <c r="G255" s="23" t="inlineStr"/>
      <c r="H255" s="24" t="inlineStr"/>
      <c r="I255" s="18" t="inlineStr">
        <is>
          <t>OtaChannelData</t>
        </is>
      </c>
    </row>
    <row r="256" ht="36" customHeight="1">
      <c r="A256" s="17" t="inlineStr">
        <is>
          <t>N-08</t>
        </is>
      </c>
      <c r="B256" s="18" t="inlineStr">
        <is>
          <t>アラート・例外検知</t>
        </is>
      </c>
      <c r="C256" s="19" t="inlineStr">
        <is>
          <t>予測と実績の乖離</t>
        </is>
      </c>
      <c r="D256" s="26" t="inlineStr">
        <is>
          <t>判定ルール</t>
        </is>
      </c>
      <c r="E256" s="21" t="inlineStr">
        <is>
          <t>前日予測と当日実績の稼働差が ±10pt以上の日が週3日以上 → Level 3「予測キャリブレーション」。</t>
        </is>
      </c>
      <c r="F256" s="22" t="inlineStr">
        <is>
          <t>±10pt × 3日/週</t>
        </is>
      </c>
      <c r="G256" s="23" t="inlineStr"/>
      <c r="H256" s="24" t="inlineStr"/>
      <c r="I256" s="18" t="inlineStr">
        <is>
          <t>F-DP-05</t>
        </is>
      </c>
    </row>
    <row r="257" ht="36" customHeight="1">
      <c r="A257" s="17" t="inlineStr">
        <is>
          <t>N-09</t>
        </is>
      </c>
      <c r="B257" s="18" t="inlineStr">
        <is>
          <t>アラート・例外検知</t>
        </is>
      </c>
      <c r="C257" s="19" t="inlineStr">
        <is>
          <t>予算進捗の遅れ</t>
        </is>
      </c>
      <c r="D257" s="26" t="inlineStr">
        <is>
          <t>判定ルール</t>
        </is>
      </c>
      <c r="E257" s="21" t="inlineStr">
        <is>
          <t>月の15日時点で累計進捗（実績＋OTB）が予算の85%未満 → Level 4。月初時点で前年同時点比 −15%以下 → Level 3。</t>
        </is>
      </c>
      <c r="F257" s="22" t="inlineStr">
        <is>
          <t>85% / −15%</t>
        </is>
      </c>
      <c r="G257" s="23" t="inlineStr"/>
      <c r="H257" s="24" t="inlineStr"/>
      <c r="I257" s="18" t="inlineStr">
        <is>
          <t>F-DASH-02</t>
        </is>
      </c>
    </row>
    <row r="258" ht="36" customHeight="1">
      <c r="A258" s="17" t="inlineStr">
        <is>
          <t>N-10</t>
        </is>
      </c>
      <c r="B258" s="18" t="inlineStr">
        <is>
          <t>アラート・例外検知</t>
        </is>
      </c>
      <c r="C258" s="19" t="inlineStr">
        <is>
          <t>推奨の未反映</t>
        </is>
      </c>
      <c r="D258" s="26" t="inlineStr">
        <is>
          <t>判定ルール</t>
        </is>
      </c>
      <c r="E258" s="21" t="inlineStr">
        <is>
          <t>AI推奨と現在価格の差が3ランク以上の日が7日以内に3日以上 → Level 3「推奨確認」。上書き理由が未記録なら Level 4。</t>
        </is>
      </c>
      <c r="F258" s="22" t="inlineStr">
        <is>
          <t>3ランク × 3日</t>
        </is>
      </c>
      <c r="G258" s="23" t="inlineStr"/>
      <c r="H258" s="24" t="inlineStr"/>
      <c r="I258" s="18" t="inlineStr">
        <is>
          <t>F-DP-01 / F-DP-03</t>
        </is>
      </c>
    </row>
    <row r="259" ht="36" customHeight="1">
      <c r="A259" s="17" t="inlineStr">
        <is>
          <t>N-11</t>
        </is>
      </c>
      <c r="B259" s="18" t="inlineStr">
        <is>
          <t>アラート・例外検知</t>
        </is>
      </c>
      <c r="C259" s="19" t="inlineStr">
        <is>
          <t>データ断</t>
        </is>
      </c>
      <c r="D259" s="26" t="inlineStr">
        <is>
          <t>判定ルール</t>
        </is>
      </c>
      <c r="E259" s="21" t="inlineStr">
        <is>
          <t>日別実績・OTBスナップショット・競合価格のいずれかが2日以上更新されていない → Level 5。予測・推奨は古いデータで動き続けるため最優先。</t>
        </is>
      </c>
      <c r="F259" s="22" t="inlineStr">
        <is>
          <t>2日</t>
        </is>
      </c>
      <c r="G259" s="23" t="inlineStr"/>
      <c r="H259" s="24" t="inlineStr"/>
      <c r="I259" s="18" t="inlineStr">
        <is>
          <t>DailyData / BookingCurveData / CompetitorPriceData</t>
        </is>
      </c>
    </row>
    <row r="260" ht="51" customHeight="1">
      <c r="A260" s="17" t="inlineStr">
        <is>
          <t>N-12</t>
        </is>
      </c>
      <c r="B260" s="18" t="inlineStr">
        <is>
          <t>アラート・例外検知</t>
        </is>
      </c>
      <c r="C260" s="19" t="inlineStr">
        <is>
          <t>イベント未登録の疑い</t>
        </is>
      </c>
      <c r="D260" s="26" t="inlineStr">
        <is>
          <t>判定ルール</t>
        </is>
      </c>
      <c r="E260" s="21" t="inlineStr">
        <is>
          <t>予測稼働が同曜日平均より20pt以上高くイベント登録がない日 → Level 3「イベント登録確認」。過去の同時期にイベントがあった場合は Level 4。</t>
        </is>
      </c>
      <c r="F260" s="22" t="inlineStr">
        <is>
          <t>20pt</t>
        </is>
      </c>
      <c r="G260" s="23" t="inlineStr"/>
      <c r="H260" s="24" t="inlineStr"/>
      <c r="I260" s="18" t="inlineStr">
        <is>
          <t>Event / F-DP-07</t>
        </is>
      </c>
    </row>
    <row r="261" ht="36" customHeight="1">
      <c r="A261" s="17" t="inlineStr">
        <is>
          <t>N-13</t>
        </is>
      </c>
      <c r="B261" s="18" t="inlineStr">
        <is>
          <t>アラート・例外検知</t>
        </is>
      </c>
      <c r="C261" s="19" t="inlineStr">
        <is>
          <t>直前値下げの常態化</t>
        </is>
      </c>
      <c r="D261" s="26" t="inlineStr">
        <is>
          <t>判定ルール</t>
        </is>
      </c>
      <c r="E261" s="21" t="inlineStr">
        <is>
          <t>月内の3日前以内値下げ回数が5回以上 → Level 3。翌月も続けば Level 4。ゲストの学習効果を防ぐ。</t>
        </is>
      </c>
      <c r="F261" s="22" t="inlineStr">
        <is>
          <t>5回/月</t>
        </is>
      </c>
      <c r="G261" s="23" t="inlineStr"/>
      <c r="H261" s="24" t="inlineStr"/>
      <c r="I261" s="18" t="inlineStr">
        <is>
          <t>AuditLog</t>
        </is>
      </c>
    </row>
    <row r="262" ht="36" customHeight="1">
      <c r="A262" s="17" t="inlineStr">
        <is>
          <t>N-14</t>
        </is>
      </c>
      <c r="B262" s="18" t="inlineStr">
        <is>
          <t>アラート・例外検知</t>
        </is>
      </c>
      <c r="C262" s="19" t="inlineStr">
        <is>
          <t>満室日の残需要</t>
        </is>
      </c>
      <c r="D262" s="26" t="inlineStr">
        <is>
          <t>判定ルール</t>
        </is>
      </c>
      <c r="E262" s="21" t="inlineStr">
        <is>
          <t>残在庫0で7日以上前 → Level 4「早期満室: 価格が安かった可能性」。翌年の同日・類似日の初期価格を上げる学習材料にする。</t>
        </is>
      </c>
      <c r="F262" s="22" t="inlineStr">
        <is>
          <t>7日以上前の満室</t>
        </is>
      </c>
      <c r="G262" s="23" t="inlineStr"/>
      <c r="H262" s="24" t="inlineStr"/>
      <c r="I262" s="18" t="inlineStr">
        <is>
          <t>F-DP-05</t>
        </is>
      </c>
    </row>
    <row r="263" ht="36" customHeight="1">
      <c r="A263" s="17" t="inlineStr">
        <is>
          <t>N-15</t>
        </is>
      </c>
      <c r="B263" s="18" t="inlineStr">
        <is>
          <t>アラート・例外検知</t>
        </is>
      </c>
      <c r="C263" s="19" t="inlineStr">
        <is>
          <t>団体ブロック期限</t>
        </is>
      </c>
      <c r="D263" s="26" t="inlineStr">
        <is>
          <t>判定ルール</t>
        </is>
      </c>
      <c r="E263" s="21" t="inlineStr">
        <is>
          <t>カットオフ3日前で未確定率50%以上の団体 → Level 4「確定催促・在庫戻し判断」。</t>
        </is>
      </c>
      <c r="F263" s="22" t="inlineStr">
        <is>
          <t>3日前・50%</t>
        </is>
      </c>
      <c r="G263" s="23" t="inlineStr"/>
      <c r="H263" s="24" t="inlineStr"/>
      <c r="I263" s="18" t="inlineStr">
        <is>
          <t>GroupBooking</t>
        </is>
      </c>
    </row>
    <row r="264" ht="51" customHeight="1">
      <c r="A264" s="17" t="inlineStr">
        <is>
          <t>N-16</t>
        </is>
      </c>
      <c r="B264" s="18" t="inlineStr">
        <is>
          <t>アラート・例外検知</t>
        </is>
      </c>
      <c r="C264" s="19" t="inlineStr">
        <is>
          <t>アラートの抑止・重複排除</t>
        </is>
      </c>
      <c r="D264" s="27" t="inlineStr">
        <is>
          <t>注意</t>
        </is>
      </c>
      <c r="E264" s="21" t="inlineStr">
        <is>
          <t>同一事象のアラートは24時間内に1回。対応済み・確認済みはステータスで閉じ、同条件が続いても再通知は週1回に抑える。アラート疲れは全てを無視させる。</t>
        </is>
      </c>
      <c r="F264" s="22" t="inlineStr">
        <is>
          <t>24h重複排除</t>
        </is>
      </c>
      <c r="G264" s="23" t="inlineStr"/>
      <c r="H264" s="24" t="inlineStr"/>
      <c r="I264" s="18" t="inlineStr">
        <is>
          <t>Alert.status</t>
        </is>
      </c>
    </row>
    <row r="265" ht="51" customHeight="1">
      <c r="A265" s="17" t="inlineStr">
        <is>
          <t>N-17</t>
        </is>
      </c>
      <c r="B265" s="18" t="inlineStr">
        <is>
          <t>アラート・例外検知</t>
        </is>
      </c>
      <c r="C265" s="19" t="inlineStr">
        <is>
          <t>アラートの文面</t>
        </is>
      </c>
      <c r="D265" s="28" t="inlineStr">
        <is>
          <t>説明ルール</t>
        </is>
      </c>
      <c r="E265" s="21" t="inlineStr">
        <is>
          <t>文面は「何が（事象）・どの日に・どれくらい（数値）・何をすべきか（1アクション）・リンク」の順。例「9/21(土) 予約ペースが前年比+42%。残12室。価格見直しを推奨 → プライシング」。</t>
        </is>
      </c>
      <c r="F265" s="22" t="inlineStr">
        <is>
          <t>—</t>
        </is>
      </c>
      <c r="G265" s="23" t="inlineStr"/>
      <c r="H265" s="24" t="inlineStr"/>
      <c r="I265" s="18" t="inlineStr">
        <is>
          <t>Alert.message / linkTo</t>
        </is>
      </c>
    </row>
    <row r="266" ht="36" customHeight="1">
      <c r="A266" s="17" t="inlineStr">
        <is>
          <t>N-18</t>
        </is>
      </c>
      <c r="B266" s="18" t="inlineStr">
        <is>
          <t>アラート・例外検知</t>
        </is>
      </c>
      <c r="C266" s="19" t="inlineStr">
        <is>
          <t>アラート効果の検証</t>
        </is>
      </c>
      <c r="D266" s="20" t="inlineStr">
        <is>
          <t>計算式</t>
        </is>
      </c>
      <c r="E266" s="21" t="inlineStr">
        <is>
          <t>アラート後72時間以内に対応（価格変更・設定変更）された比率と、対応した場合の着地改善を月次で集計。反応されないアラートは閾値か文面を見直す。</t>
        </is>
      </c>
      <c r="F266" s="22" t="inlineStr">
        <is>
          <t>対応率目標 ≥60%</t>
        </is>
      </c>
      <c r="G266" s="23" t="inlineStr"/>
      <c r="H266" s="24" t="inlineStr"/>
      <c r="I266" s="18" t="inlineStr">
        <is>
          <t>Alert / AuditLog</t>
        </is>
      </c>
    </row>
    <row r="267" ht="22" customHeight="1">
      <c r="A267" s="16" t="inlineStr">
        <is>
          <t>O　AIコメント・説明生成　　（関連: F-DASH-06 / AiComment）</t>
        </is>
      </c>
    </row>
    <row r="268" ht="51" customHeight="1">
      <c r="A268" s="17" t="inlineStr">
        <is>
          <t>O-01</t>
        </is>
      </c>
      <c r="B268" s="18" t="inlineStr">
        <is>
          <t>AIコメント・説明生成</t>
        </is>
      </c>
      <c r="C268" s="19" t="inlineStr">
        <is>
          <t>AIコメントの役割</t>
        </is>
      </c>
      <c r="D268" s="25" t="inlineStr">
        <is>
          <t>定義</t>
        </is>
      </c>
      <c r="E268" s="21" t="inlineStr">
        <is>
          <t>数値の羅列ではなく、「今どういう状況で、なぜそう判断し、次に何をすべきか」を現場の言葉で示す。レベニュー担当者が朝5分で状況把握できる文章を目指す。</t>
        </is>
      </c>
      <c r="F268" s="22" t="inlineStr">
        <is>
          <t>—</t>
        </is>
      </c>
      <c r="G268" s="23" t="inlineStr"/>
      <c r="H268" s="24" t="inlineStr"/>
      <c r="I268" s="18" t="inlineStr">
        <is>
          <t>F-DASH-06 / AiComment</t>
        </is>
      </c>
    </row>
    <row r="269" ht="36" customHeight="1">
      <c r="A269" s="17" t="inlineStr">
        <is>
          <t>O-02</t>
        </is>
      </c>
      <c r="B269" s="18" t="inlineStr">
        <is>
          <t>AIコメント・説明生成</t>
        </is>
      </c>
      <c r="C269" s="19" t="inlineStr">
        <is>
          <t>構成の順序</t>
        </is>
      </c>
      <c r="D269" s="28" t="inlineStr">
        <is>
          <t>説明ルール</t>
        </is>
      </c>
      <c r="E269" s="21" t="inlineStr">
        <is>
          <t>結論（状況の一言）→ 根拠（数値2〜3個、比較対象付き）→ 推奨アクション（1〜2個、具体的）→ 注意点・不確実性。この順を崩さない。</t>
        </is>
      </c>
      <c r="F269" s="22" t="inlineStr">
        <is>
          <t>結論→根拠→アクション→注意</t>
        </is>
      </c>
      <c r="G269" s="23" t="inlineStr"/>
      <c r="H269" s="24" t="inlineStr"/>
      <c r="I269" s="18" t="inlineStr">
        <is>
          <t>AiComment</t>
        </is>
      </c>
    </row>
    <row r="270" ht="51" customHeight="1">
      <c r="A270" s="17" t="inlineStr">
        <is>
          <t>O-03</t>
        </is>
      </c>
      <c r="B270" s="18" t="inlineStr">
        <is>
          <t>AIコメント・説明生成</t>
        </is>
      </c>
      <c r="C270" s="19" t="inlineStr">
        <is>
          <t>数値の表現</t>
        </is>
      </c>
      <c r="D270" s="28" t="inlineStr">
        <is>
          <t>説明ルール</t>
        </is>
      </c>
      <c r="E270" s="21" t="inlineStr">
        <is>
          <t>数値には必ず比較対象を添える（前年同曜日比・予算比・目標カーブ比・コンプセット比のいずれか）。「稼働78%」だけでなく「稼働78%（前年同曜日72%、予算75%）」。</t>
        </is>
      </c>
      <c r="F270" s="22" t="inlineStr">
        <is>
          <t>比較対象必須</t>
        </is>
      </c>
      <c r="G270" s="23" t="inlineStr"/>
      <c r="H270" s="24" t="inlineStr"/>
      <c r="I270" s="18" t="inlineStr">
        <is>
          <t>AiComment</t>
        </is>
      </c>
    </row>
    <row r="271" ht="51" customHeight="1">
      <c r="A271" s="17" t="inlineStr">
        <is>
          <t>O-04</t>
        </is>
      </c>
      <c r="B271" s="18" t="inlineStr">
        <is>
          <t>AIコメント・説明生成</t>
        </is>
      </c>
      <c r="C271" s="19" t="inlineStr">
        <is>
          <t>用語の補足</t>
        </is>
      </c>
      <c r="D271" s="28" t="inlineStr">
        <is>
          <t>説明ルール</t>
        </is>
      </c>
      <c r="E271" s="21" t="inlineStr">
        <is>
          <t>専門用語（RevPAR・ピックアップ・OTB等）は初出で一言補足する。「RevPAR（客室あたり収益）」。オーナー・支配人向けは補足必須、レベニュー担当者向けは省略可（ロールで切替）。</t>
        </is>
      </c>
      <c r="F271" s="22" t="inlineStr">
        <is>
          <t>ロールで切替</t>
        </is>
      </c>
      <c r="G271" s="23" t="inlineStr"/>
      <c r="H271" s="24" t="inlineStr"/>
      <c r="I271" s="18" t="inlineStr">
        <is>
          <t>AiComment / UserRole</t>
        </is>
      </c>
    </row>
    <row r="272" ht="51" customHeight="1">
      <c r="A272" s="17" t="inlineStr">
        <is>
          <t>O-05</t>
        </is>
      </c>
      <c r="B272" s="18" t="inlineStr">
        <is>
          <t>AIコメント・説明生成</t>
        </is>
      </c>
      <c r="C272" s="19" t="inlineStr">
        <is>
          <t>推奨アクションの具体性</t>
        </is>
      </c>
      <c r="D272" s="28" t="inlineStr">
        <is>
          <t>説明ルール</t>
        </is>
      </c>
      <c r="E272" s="21" t="inlineStr">
        <is>
          <t>「価格を見直してください」ではなく「9/21(土)を R24→R27（¥14,800→¥16,800）へ。残12室・前年比+42%のため」。日付・ランク・金額・理由を含める。</t>
        </is>
      </c>
      <c r="F272" s="22" t="inlineStr">
        <is>
          <t>日付・ランク・金額・理由</t>
        </is>
      </c>
      <c r="G272" s="23" t="inlineStr"/>
      <c r="H272" s="24" t="inlineStr"/>
      <c r="I272" s="18" t="inlineStr">
        <is>
          <t>AiComment / F-DP-01</t>
        </is>
      </c>
    </row>
    <row r="273" ht="36" customHeight="1">
      <c r="A273" s="17" t="inlineStr">
        <is>
          <t>O-06</t>
        </is>
      </c>
      <c r="B273" s="18" t="inlineStr">
        <is>
          <t>AIコメント・説明生成</t>
        </is>
      </c>
      <c r="C273" s="19" t="inlineStr">
        <is>
          <t>不確実性の明示</t>
        </is>
      </c>
      <c r="D273" s="28" t="inlineStr">
        <is>
          <t>説明ルール</t>
        </is>
      </c>
      <c r="E273" s="21" t="inlineStr">
        <is>
          <t>確信度が0.6未満の予測に基づく推奨は「データが少なく確度は中程度」等の限定を付け、変更幅を抑えた推奨にする。断定調で外すと信頼を失う。</t>
        </is>
      </c>
      <c r="F273" s="22" t="inlineStr">
        <is>
          <t>conf&lt;0.6 で限定表現</t>
        </is>
      </c>
      <c r="G273" s="23" t="inlineStr"/>
      <c r="H273" s="24" t="inlineStr"/>
      <c r="I273" s="18" t="inlineStr">
        <is>
          <t>AiPriceRecommendation.confidence</t>
        </is>
      </c>
    </row>
    <row r="274" ht="36" customHeight="1">
      <c r="A274" s="17" t="inlineStr">
        <is>
          <t>O-07</t>
        </is>
      </c>
      <c r="B274" s="18" t="inlineStr">
        <is>
          <t>AIコメント・説明生成</t>
        </is>
      </c>
      <c r="C274" s="19" t="inlineStr">
        <is>
          <t>しないこと</t>
        </is>
      </c>
      <c r="D274" s="28" t="inlineStr">
        <is>
          <t>説明ルール</t>
        </is>
      </c>
      <c r="E274" s="21" t="inlineStr">
        <is>
          <t>「平均」という表現（競合分析）、未実装機能の言及、根拠のない断定、値下げの安易な推奨、他社の実名批判、ゲスト個人情報の記載はしない。</t>
        </is>
      </c>
      <c r="F274" s="22" t="inlineStr">
        <is>
          <t>—</t>
        </is>
      </c>
      <c r="G274" s="23" t="inlineStr"/>
      <c r="H274" s="24" t="inlineStr"/>
      <c r="I274" s="18" t="inlineStr">
        <is>
          <t>F-DP-06 仕様 / Phase 4</t>
        </is>
      </c>
    </row>
    <row r="275" ht="36" customHeight="1">
      <c r="A275" s="17" t="inlineStr">
        <is>
          <t>O-08</t>
        </is>
      </c>
      <c r="B275" s="18" t="inlineStr">
        <is>
          <t>AIコメント・説明生成</t>
        </is>
      </c>
      <c r="C275" s="19" t="inlineStr">
        <is>
          <t>トーン</t>
        </is>
      </c>
      <c r="D275" s="28" t="inlineStr">
        <is>
          <t>説明ルール</t>
        </is>
      </c>
      <c r="E275" s="21" t="inlineStr">
        <is>
          <t>敬体・簡潔・事実ベース。煽らない（「危険」「大チャンス」等は使わない）。良い結果も過度に称賛せず、次の判断材料を示す。</t>
        </is>
      </c>
      <c r="F275" s="22" t="inlineStr">
        <is>
          <t>—</t>
        </is>
      </c>
      <c r="G275" s="23" t="inlineStr"/>
      <c r="H275" s="24" t="inlineStr"/>
      <c r="I275" s="18" t="inlineStr">
        <is>
          <t>AiComment</t>
        </is>
      </c>
    </row>
    <row r="276" ht="36" customHeight="1">
      <c r="A276" s="17" t="inlineStr">
        <is>
          <t>O-09</t>
        </is>
      </c>
      <c r="B276" s="18" t="inlineStr">
        <is>
          <t>AIコメント・説明生成</t>
        </is>
      </c>
      <c r="C276" s="19" t="inlineStr">
        <is>
          <t>長さ</t>
        </is>
      </c>
      <c r="D276" s="28" t="inlineStr">
        <is>
          <t>説明ルール</t>
        </is>
      </c>
      <c r="E276" s="21" t="inlineStr">
        <is>
          <t>ダッシュボードのAIまとめは3〜5文（200字前後）。日別のコメントは1〜2文。長文は読まれない。詳細は該当画面へのリンクで補う。</t>
        </is>
      </c>
      <c r="F276" s="22" t="inlineStr">
        <is>
          <t>200字前後</t>
        </is>
      </c>
      <c r="G276" s="23" t="inlineStr"/>
      <c r="H276" s="24" t="inlineStr"/>
      <c r="I276" s="18" t="inlineStr">
        <is>
          <t>F-DASH-06</t>
        </is>
      </c>
    </row>
    <row r="277" ht="36" customHeight="1">
      <c r="A277" s="17" t="inlineStr">
        <is>
          <t>O-10</t>
        </is>
      </c>
      <c r="B277" s="18" t="inlineStr">
        <is>
          <t>AIコメント・説明生成</t>
        </is>
      </c>
      <c r="C277" s="19" t="inlineStr">
        <is>
          <t>優先順位付け</t>
        </is>
      </c>
      <c r="D277" s="28" t="inlineStr">
        <is>
          <t>説明ルール</t>
        </is>
      </c>
      <c r="E277" s="21" t="inlineStr">
        <is>
          <t>複数の論点があるときは、金額インパクト（機会損失・未達額）の大きい順に述べる。Level 5・4アラート対象日を先頭に置く。</t>
        </is>
      </c>
      <c r="F277" s="22" t="inlineStr">
        <is>
          <t>金額インパクト順</t>
        </is>
      </c>
      <c r="G277" s="23" t="inlineStr"/>
      <c r="H277" s="24" t="inlineStr"/>
      <c r="I277" s="18" t="inlineStr">
        <is>
          <t>Alert.level</t>
        </is>
      </c>
    </row>
    <row r="278" ht="51" customHeight="1">
      <c r="A278" s="17" t="inlineStr">
        <is>
          <t>O-11</t>
        </is>
      </c>
      <c r="B278" s="18" t="inlineStr">
        <is>
          <t>AIコメント・説明生成</t>
        </is>
      </c>
      <c r="C278" s="19" t="inlineStr">
        <is>
          <t>質問への回答</t>
        </is>
      </c>
      <c r="D278" s="28" t="inlineStr">
        <is>
          <t>説明ルール</t>
        </is>
      </c>
      <c r="E278" s="21" t="inlineStr">
        <is>
          <t>ユーザーの質問には、①システム内の該当データ（数値・日付）を根拠に、②本知識ベースの原則を引いて、③次のアクションを示す。データがない場合は「データがない」と明言する。</t>
        </is>
      </c>
      <c r="F278" s="22" t="inlineStr">
        <is>
          <t>—</t>
        </is>
      </c>
      <c r="G278" s="23" t="inlineStr"/>
      <c r="H278" s="24" t="inlineStr"/>
      <c r="I278" s="18" t="inlineStr">
        <is>
          <t>AiComment / 将来Q&amp;A</t>
        </is>
      </c>
    </row>
    <row r="279" ht="36" customHeight="1">
      <c r="A279" s="17" t="inlineStr">
        <is>
          <t>O-12</t>
        </is>
      </c>
      <c r="B279" s="18" t="inlineStr">
        <is>
          <t>AIコメント・説明生成</t>
        </is>
      </c>
      <c r="C279" s="19" t="inlineStr">
        <is>
          <t>知識ベースと実装値の関係</t>
        </is>
      </c>
      <c r="D279" s="28" t="inlineStr">
        <is>
          <t>説明ルール</t>
        </is>
      </c>
      <c r="E279" s="21" t="inlineStr">
        <is>
          <t>閾値・重み・補正値の具体値を説明するときはシステムの現在設定値を参照して述べる。本知識ベースの初期値をそのまま「システムの値」として語らない。</t>
        </is>
      </c>
      <c r="F279" s="22" t="inlineStr">
        <is>
          <t>実装値が正</t>
        </is>
      </c>
      <c r="G279" s="23" t="inlineStr"/>
      <c r="H279" s="24" t="inlineStr"/>
      <c r="I279" s="18" t="inlineStr">
        <is>
          <t>PricingStrategyConfig / 設定</t>
        </is>
      </c>
    </row>
    <row r="280" ht="51" customHeight="1">
      <c r="A280" s="17" t="inlineStr">
        <is>
          <t>O-13</t>
        </is>
      </c>
      <c r="B280" s="18" t="inlineStr">
        <is>
          <t>AIコメント・説明生成</t>
        </is>
      </c>
      <c r="C280" s="19" t="inlineStr">
        <is>
          <t>週次サマリーの型</t>
        </is>
      </c>
      <c r="D280" s="28" t="inlineStr">
        <is>
          <t>説明ルール</t>
        </is>
      </c>
      <c r="E280" s="21" t="inlineStr">
        <is>
          <t>週次: ①先週の実績 vs 予算・前年（RevPAR分解） ②今後4週の要注意日（強い日・弱い日 各上位3日） ③競合・市場の動き ④推奨アクション3つ。</t>
        </is>
      </c>
      <c r="F280" s="22" t="inlineStr">
        <is>
          <t>4項目固定</t>
        </is>
      </c>
      <c r="G280" s="23" t="inlineStr"/>
      <c r="H280" s="24" t="inlineStr"/>
      <c r="I280" s="18" t="inlineStr">
        <is>
          <t>F-REP-01 / AiComment</t>
        </is>
      </c>
    </row>
    <row r="281" ht="51" customHeight="1">
      <c r="A281" s="17" t="inlineStr">
        <is>
          <t>O-14</t>
        </is>
      </c>
      <c r="B281" s="18" t="inlineStr">
        <is>
          <t>AIコメント・説明生成</t>
        </is>
      </c>
      <c r="C281" s="19" t="inlineStr">
        <is>
          <t>月次サマリーの型</t>
        </is>
      </c>
      <c r="D281" s="28" t="inlineStr">
        <is>
          <t>説明ルール</t>
        </is>
      </c>
      <c r="E281" s="21" t="inlineStr">
        <is>
          <t>月次: ①着地 vs 予算・前年（分解） ②要因（イベント・団体・チャネル・価格施策） ③予測精度の振り返り ④翌月の見通しと重点日 ⑤ルール・設定の見直し提案。</t>
        </is>
      </c>
      <c r="F281" s="22" t="inlineStr">
        <is>
          <t>5項目固定</t>
        </is>
      </c>
      <c r="G281" s="23" t="inlineStr"/>
      <c r="H281" s="24" t="inlineStr"/>
      <c r="I281" s="18" t="inlineStr">
        <is>
          <t>F-REP-01</t>
        </is>
      </c>
    </row>
    <row r="282" ht="36" customHeight="1">
      <c r="A282" s="17" t="inlineStr">
        <is>
          <t>O-15</t>
        </is>
      </c>
      <c r="B282" s="18" t="inlineStr">
        <is>
          <t>AIコメント・説明生成</t>
        </is>
      </c>
      <c r="C282" s="19" t="inlineStr">
        <is>
          <t>日別コメントの型</t>
        </is>
      </c>
      <c r="D282" s="28" t="inlineStr">
        <is>
          <t>説明ルール</t>
        </is>
      </c>
      <c r="E282" s="21" t="inlineStr">
        <is>
          <t>日別: 「需要レベル○（予測稼働○%、前年比○%）。推奨R○（¥○）。理由: ○」。イベント・団体・競合売止めがあれば1語で添える。</t>
        </is>
      </c>
      <c r="F282" s="22" t="inlineStr">
        <is>
          <t>—</t>
        </is>
      </c>
      <c r="G282" s="23" t="inlineStr"/>
      <c r="H282" s="24" t="inlineStr"/>
      <c r="I282" s="18" t="inlineStr">
        <is>
          <t>F-DP-01</t>
        </is>
      </c>
    </row>
    <row r="283" ht="51" customHeight="1">
      <c r="A283" s="17" t="inlineStr">
        <is>
          <t>O-16</t>
        </is>
      </c>
      <c r="B283" s="18" t="inlineStr">
        <is>
          <t>AIコメント・説明生成</t>
        </is>
      </c>
      <c r="C283" s="19" t="inlineStr">
        <is>
          <t>コメントの再生成条件</t>
        </is>
      </c>
      <c r="D283" s="26" t="inlineStr">
        <is>
          <t>判定ルール</t>
        </is>
      </c>
      <c r="E283" s="21" t="inlineStr">
        <is>
          <t>コメントは元データが変わったとき（予測再計算・実績更新・イベント登録）に再生成し、生成時刻と参照データの時点を表示する。古いコメントを新しい数値の横に置かない。</t>
        </is>
      </c>
      <c r="F283" s="22" t="inlineStr">
        <is>
          <t>データ更新時に再生成</t>
        </is>
      </c>
      <c r="G283" s="23" t="inlineStr"/>
      <c r="H283" s="24" t="inlineStr"/>
      <c r="I283" s="18" t="inlineStr">
        <is>
          <t>AiComment.generatedAt</t>
        </is>
      </c>
    </row>
    <row r="284" ht="36" customHeight="1">
      <c r="A284" s="17" t="inlineStr">
        <is>
          <t>O-17</t>
        </is>
      </c>
      <c r="B284" s="18" t="inlineStr">
        <is>
          <t>AIコメント・説明生成</t>
        </is>
      </c>
      <c r="C284" s="19" t="inlineStr">
        <is>
          <t>ハルシネーション防止</t>
        </is>
      </c>
      <c r="D284" s="27" t="inlineStr">
        <is>
          <t>注意</t>
        </is>
      </c>
      <c r="E284" s="21" t="inlineStr">
        <is>
          <t>生成時に参照した数値はシステムから取得した値のみとし、生成文中の数値は参照データと突合してから表示する。突合できない数値を含む文は表示しない。</t>
        </is>
      </c>
      <c r="F284" s="22" t="inlineStr">
        <is>
          <t>数値突合必須</t>
        </is>
      </c>
      <c r="G284" s="23" t="inlineStr"/>
      <c r="H284" s="24" t="inlineStr"/>
      <c r="I284" s="18" t="inlineStr">
        <is>
          <t>AiComment（Phase 4 実装時）</t>
        </is>
      </c>
    </row>
    <row r="285" ht="36" customHeight="1">
      <c r="A285" s="17" t="inlineStr">
        <is>
          <t>O-18</t>
        </is>
      </c>
      <c r="B285" s="18" t="inlineStr">
        <is>
          <t>AIコメント・説明生成</t>
        </is>
      </c>
      <c r="C285" s="19" t="inlineStr">
        <is>
          <t>説明の一貫性</t>
        </is>
      </c>
      <c r="D285" s="27" t="inlineStr">
        <is>
          <t>注意</t>
        </is>
      </c>
      <c r="E285" s="21" t="inlineStr">
        <is>
          <t>同じ事実に対して画面ごとに異なる表現・数値が出ないよう、指標の定義（A章）と比較軸（M章）を共通ライブラリで統一する。</t>
        </is>
      </c>
      <c r="F285" s="22" t="inlineStr">
        <is>
          <t>—</t>
        </is>
      </c>
      <c r="G285" s="23" t="inlineStr"/>
      <c r="H285" s="24" t="inlineStr"/>
      <c r="I285" s="18" t="inlineStr">
        <is>
          <t>utils / shared</t>
        </is>
      </c>
    </row>
    <row r="286" ht="22" customHeight="1">
      <c r="A286" s="16" t="inlineStr">
        <is>
          <t>P　業務サイクル　　（関連: 運用全般）</t>
        </is>
      </c>
    </row>
    <row r="287" ht="36" customHeight="1">
      <c r="A287" s="17" t="inlineStr">
        <is>
          <t>P-01</t>
        </is>
      </c>
      <c r="B287" s="18" t="inlineStr">
        <is>
          <t>業務サイクル</t>
        </is>
      </c>
      <c r="C287" s="19" t="inlineStr">
        <is>
          <t>日次: 実績確認</t>
        </is>
      </c>
      <c r="D287" s="29" t="inlineStr">
        <is>
          <t>アクション</t>
        </is>
      </c>
      <c r="E287" s="21" t="inlineStr">
        <is>
          <t>前日実績（OCC・ADR・RevPAR・人数）を予算・前年同曜日・前日予測と比較。予測との差が±10pt以上なら原因を1行メモ。</t>
        </is>
      </c>
      <c r="F287" s="22" t="inlineStr">
        <is>
          <t>10分</t>
        </is>
      </c>
      <c r="G287" s="23" t="inlineStr"/>
      <c r="H287" s="24" t="inlineStr"/>
      <c r="I287" s="18" t="inlineStr">
        <is>
          <t>F-DASH-01 / F-DASH-02</t>
        </is>
      </c>
    </row>
    <row r="288" ht="36" customHeight="1">
      <c r="A288" s="17" t="inlineStr">
        <is>
          <t>P-02</t>
        </is>
      </c>
      <c r="B288" s="18" t="inlineStr">
        <is>
          <t>業務サイクル</t>
        </is>
      </c>
      <c r="C288" s="19" t="inlineStr">
        <is>
          <t>日次: ピックアップ確認</t>
        </is>
      </c>
      <c r="D288" s="29" t="inlineStr">
        <is>
          <t>アクション</t>
        </is>
      </c>
      <c r="E288" s="21" t="inlineStr">
        <is>
          <t>今後90日の日次・週次ピックアップ（ネット）を確認。Level 4以上のアラート日を先に処理し、次に目標カーブとの乖離が大きい日。</t>
        </is>
      </c>
      <c r="F288" s="22" t="inlineStr">
        <is>
          <t>15分</t>
        </is>
      </c>
      <c r="G288" s="23" t="inlineStr"/>
      <c r="H288" s="24" t="inlineStr"/>
      <c r="I288" s="18" t="inlineStr">
        <is>
          <t>F-DAILY-01 / F-DASH-05</t>
        </is>
      </c>
    </row>
    <row r="289" ht="36" customHeight="1">
      <c r="A289" s="17" t="inlineStr">
        <is>
          <t>P-03</t>
        </is>
      </c>
      <c r="B289" s="18" t="inlineStr">
        <is>
          <t>業務サイクル</t>
        </is>
      </c>
      <c r="C289" s="19" t="inlineStr">
        <is>
          <t>日次: 価格・制限の決定</t>
        </is>
      </c>
      <c r="D289" s="29" t="inlineStr">
        <is>
          <t>アクション</t>
        </is>
      </c>
      <c r="E289" s="21" t="inlineStr">
        <is>
          <t>AI推奨を確認し、採用/上書きを決定。上書き時は理由を記録。変更は1日1回にまとめる。</t>
        </is>
      </c>
      <c r="F289" s="22" t="inlineStr">
        <is>
          <t>15分</t>
        </is>
      </c>
      <c r="G289" s="23" t="inlineStr"/>
      <c r="H289" s="24" t="inlineStr"/>
      <c r="I289" s="18" t="inlineStr">
        <is>
          <t>F-DP-01 / F-DP-03</t>
        </is>
      </c>
    </row>
    <row r="290" ht="36" customHeight="1">
      <c r="A290" s="17" t="inlineStr">
        <is>
          <t>P-04</t>
        </is>
      </c>
      <c r="B290" s="18" t="inlineStr">
        <is>
          <t>業務サイクル</t>
        </is>
      </c>
      <c r="C290" s="19" t="inlineStr">
        <is>
          <t>日次: 現場共有</t>
        </is>
      </c>
      <c r="D290" s="29" t="inlineStr">
        <is>
          <t>アクション</t>
        </is>
      </c>
      <c r="E290" s="21" t="inlineStr">
        <is>
          <t>当日〜3日の方針（残室の売り方・ウォークイン価格・アップセル目標）をフロント・予約に共有。</t>
        </is>
      </c>
      <c r="F290" s="22" t="inlineStr">
        <is>
          <t>5分</t>
        </is>
      </c>
      <c r="G290" s="23" t="inlineStr"/>
      <c r="H290" s="24" t="inlineStr"/>
      <c r="I290" s="18" t="inlineStr">
        <is>
          <t>—</t>
        </is>
      </c>
    </row>
    <row r="291" ht="51" customHeight="1">
      <c r="A291" s="17" t="inlineStr">
        <is>
          <t>P-05</t>
        </is>
      </c>
      <c r="B291" s="18" t="inlineStr">
        <is>
          <t>業務サイクル</t>
        </is>
      </c>
      <c r="C291" s="19" t="inlineStr">
        <is>
          <t>週次: RM会議アジェンダ</t>
        </is>
      </c>
      <c r="D291" s="29" t="inlineStr">
        <is>
          <t>アクション</t>
        </is>
      </c>
      <c r="E291" s="21" t="inlineStr">
        <is>
          <t>①先週実績と月間着地更新 ②今後90日の要注意日と対策 ③競合・市場・イベント情報 ④チャネル別ネット実績 ⑤団体・法人案件のディスプレイスメント判断 ⑥アラート対応状況。60分以内。</t>
        </is>
      </c>
      <c r="F291" s="22" t="inlineStr">
        <is>
          <t>60分</t>
        </is>
      </c>
      <c r="G291" s="23" t="inlineStr"/>
      <c r="H291" s="24" t="inlineStr"/>
      <c r="I291" s="18" t="inlineStr">
        <is>
          <t>F-DP-04 / F-ANA-02 / F-SET-05</t>
        </is>
      </c>
    </row>
    <row r="292" ht="36" customHeight="1">
      <c r="A292" s="17" t="inlineStr">
        <is>
          <t>P-06</t>
        </is>
      </c>
      <c r="B292" s="18" t="inlineStr">
        <is>
          <t>業務サイクル</t>
        </is>
      </c>
      <c r="C292" s="19" t="inlineStr">
        <is>
          <t>週次: 予測精度チェック</t>
        </is>
      </c>
      <c r="D292" s="29" t="inlineStr">
        <is>
          <t>アクション</t>
        </is>
      </c>
      <c r="E292" s="21" t="inlineStr">
        <is>
          <t>先週の予測（7日前・前日）と実績のMAPE・Biasを確認。Biasが同方向に3週続いたら補正係数を見直す。</t>
        </is>
      </c>
      <c r="F292" s="22" t="inlineStr">
        <is>
          <t>—</t>
        </is>
      </c>
      <c r="G292" s="23" t="inlineStr"/>
      <c r="H292" s="24" t="inlineStr"/>
      <c r="I292" s="18" t="inlineStr">
        <is>
          <t>F-DP-05</t>
        </is>
      </c>
    </row>
    <row r="293" ht="36" customHeight="1">
      <c r="A293" s="17" t="inlineStr">
        <is>
          <t>P-07</t>
        </is>
      </c>
      <c r="B293" s="18" t="inlineStr">
        <is>
          <t>業務サイクル</t>
        </is>
      </c>
      <c r="C293" s="19" t="inlineStr">
        <is>
          <t>月次: 着地確定と要因分析</t>
        </is>
      </c>
      <c r="D293" s="29" t="inlineStr">
        <is>
          <t>アクション</t>
        </is>
      </c>
      <c r="E293" s="21" t="inlineStr">
        <is>
          <t>着地を予算・前年と比較しRevPARを分解、セグメント・チャネル・曜日別に要因を特定。月次サマリー（O章の型）を作成。</t>
        </is>
      </c>
      <c r="F293" s="22" t="inlineStr">
        <is>
          <t>—</t>
        </is>
      </c>
      <c r="G293" s="23" t="inlineStr"/>
      <c r="H293" s="24" t="inlineStr"/>
      <c r="I293" s="18" t="inlineStr">
        <is>
          <t>F-REP-01</t>
        </is>
      </c>
    </row>
    <row r="294" ht="36" customHeight="1">
      <c r="A294" s="17" t="inlineStr">
        <is>
          <t>P-08</t>
        </is>
      </c>
      <c r="B294" s="18" t="inlineStr">
        <is>
          <t>業務サイクル</t>
        </is>
      </c>
      <c r="C294" s="19" t="inlineStr">
        <is>
          <t>月次: 設定の見直し</t>
        </is>
      </c>
      <c r="D294" s="29" t="inlineStr">
        <is>
          <t>アクション</t>
        </is>
      </c>
      <c r="E294" s="21" t="inlineStr">
        <is>
          <t>重み付け、上下限ランク、需要レベル閾値、イベント影響度、コンプセットの妥当性を月1回点検。変更は監査ログに理由付きで。</t>
        </is>
      </c>
      <c r="F294" s="22" t="inlineStr">
        <is>
          <t>月1回</t>
        </is>
      </c>
      <c r="G294" s="23" t="inlineStr"/>
      <c r="H294" s="24" t="inlineStr"/>
      <c r="I294" s="18" t="inlineStr">
        <is>
          <t>F-DP-02 / F-SET-02 / AuditLog</t>
        </is>
      </c>
    </row>
    <row r="295" ht="36" customHeight="1">
      <c r="A295" s="17" t="inlineStr">
        <is>
          <t>P-09</t>
        </is>
      </c>
      <c r="B295" s="18" t="inlineStr">
        <is>
          <t>業務サイクル</t>
        </is>
      </c>
      <c r="C295" s="19" t="inlineStr">
        <is>
          <t>月次: 翌月〜3か月の計画</t>
        </is>
      </c>
      <c r="D295" s="29" t="inlineStr">
        <is>
          <t>アクション</t>
        </is>
      </c>
      <c r="E295" s="21" t="inlineStr">
        <is>
          <t>翌月の弱い日・強い日を特定し、販促計画・団体営業方針・イベント登録漏れ確認を行う。</t>
        </is>
      </c>
      <c r="F295" s="22" t="inlineStr">
        <is>
          <t>—</t>
        </is>
      </c>
      <c r="G295" s="23" t="inlineStr"/>
      <c r="H295" s="24" t="inlineStr"/>
      <c r="I295" s="18" t="inlineStr">
        <is>
          <t>F-DP-04 / F-DP-07</t>
        </is>
      </c>
    </row>
    <row r="296" ht="36" customHeight="1">
      <c r="A296" s="17" t="inlineStr">
        <is>
          <t>P-10</t>
        </is>
      </c>
      <c r="B296" s="18" t="inlineStr">
        <is>
          <t>業務サイクル</t>
        </is>
      </c>
      <c r="C296" s="19" t="inlineStr">
        <is>
          <t>四半期: ランク表・弾力性の見直し</t>
        </is>
      </c>
      <c r="D296" s="29" t="inlineStr">
        <is>
          <t>アクション</t>
        </is>
      </c>
      <c r="E296" s="21" t="inlineStr">
        <is>
          <t>ランク別実績から弾力性を再推定し、ランク表の刻み・上下限を見直す。年1〜2回の価格改定判断もここで。</t>
        </is>
      </c>
      <c r="F296" s="22" t="inlineStr">
        <is>
          <t>四半期</t>
        </is>
      </c>
      <c r="G296" s="23" t="inlineStr"/>
      <c r="H296" s="24" t="inlineStr"/>
      <c r="I296" s="18" t="inlineStr">
        <is>
          <t>F-SET-02</t>
        </is>
      </c>
    </row>
    <row r="297" ht="36" customHeight="1">
      <c r="A297" s="17" t="inlineStr">
        <is>
          <t>P-11</t>
        </is>
      </c>
      <c r="B297" s="18" t="inlineStr">
        <is>
          <t>業務サイクル</t>
        </is>
      </c>
      <c r="C297" s="19" t="inlineStr">
        <is>
          <t>年次: 予算とカレンダー</t>
        </is>
      </c>
      <c r="D297" s="29" t="inlineStr">
        <is>
          <t>アクション</t>
        </is>
      </c>
      <c r="E297" s="21" t="inlineStr">
        <is>
          <t>翌年度予算の日別配賦、祝日・連休マスタの更新、繰り返しイベントの翌年登録、法人契約の見直しを年度末（1〜3月）に行う。</t>
        </is>
      </c>
      <c r="F297" s="22" t="inlineStr">
        <is>
          <t>1〜3月</t>
        </is>
      </c>
      <c r="G297" s="23" t="inlineStr"/>
      <c r="H297" s="24" t="inlineStr"/>
      <c r="I297" s="18" t="inlineStr">
        <is>
          <t>F-SET-04 / Event</t>
        </is>
      </c>
    </row>
    <row r="298" ht="36" customHeight="1">
      <c r="A298" s="17" t="inlineStr">
        <is>
          <t>P-12</t>
        </is>
      </c>
      <c r="B298" s="18" t="inlineStr">
        <is>
          <t>業務サイクル</t>
        </is>
      </c>
      <c r="C298" s="19" t="inlineStr">
        <is>
          <t>引き継ぎと記録</t>
        </is>
      </c>
      <c r="D298" s="27" t="inlineStr">
        <is>
          <t>注意</t>
        </is>
      </c>
      <c r="E298" s="21" t="inlineStr">
        <is>
          <t>全ての判断は「日付・事象・判断・理由・結果」で記録し、担当交代時に判断の再現ができる状態を保つ。記録のないRMは属人化して崩れる。</t>
        </is>
      </c>
      <c r="F298" s="22" t="inlineStr">
        <is>
          <t>—</t>
        </is>
      </c>
      <c r="G298" s="23" t="inlineStr"/>
      <c r="H298" s="24" t="inlineStr"/>
      <c r="I298" s="18" t="inlineStr">
        <is>
          <t>AuditLog / notes</t>
        </is>
      </c>
    </row>
    <row r="299" ht="22" customHeight="1">
      <c r="A299" s="16" t="inlineStr">
        <is>
          <t>Q　判断の経験則　　（関連: 運用全般）</t>
        </is>
      </c>
    </row>
    <row r="300" ht="36" customHeight="1">
      <c r="A300" s="17" t="inlineStr">
        <is>
          <t>Q-01</t>
        </is>
      </c>
      <c r="B300" s="18" t="inlineStr">
        <is>
          <t>判断の経験則</t>
        </is>
      </c>
      <c r="C300" s="19" t="inlineStr">
        <is>
          <t>値上げ余地の典型形</t>
        </is>
      </c>
      <c r="D300" s="26" t="inlineStr">
        <is>
          <t>判定ルール</t>
        </is>
      </c>
      <c r="E300" s="21" t="inlineStr">
        <is>
          <t>予測稼働が高く（≥85%）ADRが同曜日平均以下の日は、値上げ余地が最も大きい。+2ランクから始めて反応を見る。</t>
        </is>
      </c>
      <c r="F300" s="22" t="inlineStr">
        <is>
          <t>OCC≥85% &amp; ADR≤平均</t>
        </is>
      </c>
      <c r="G300" s="23" t="inlineStr"/>
      <c r="H300" s="24" t="inlineStr"/>
      <c r="I300" s="18" t="inlineStr">
        <is>
          <t>F-DP-01</t>
        </is>
      </c>
    </row>
    <row r="301" ht="51" customHeight="1">
      <c r="A301" s="17" t="inlineStr">
        <is>
          <t>Q-02</t>
        </is>
      </c>
      <c r="B301" s="18" t="inlineStr">
        <is>
          <t>判断の経験則</t>
        </is>
      </c>
      <c r="C301" s="19" t="inlineStr">
        <is>
          <t>速いピックアップは原因を先に</t>
        </is>
      </c>
      <c r="D301" s="26" t="inlineStr">
        <is>
          <t>判定ルール</t>
        </is>
      </c>
      <c r="E301" s="21" t="inlineStr">
        <is>
          <t>ピックアップが急伸したら値上げの前に原因（イベント・団体・競合売止め・OTAセール）を1分で確認。原因が構造的（イベント）なら大きく、一時的（セール）なら小さく上げる。</t>
        </is>
      </c>
      <c r="F301" s="22" t="inlineStr">
        <is>
          <t>—</t>
        </is>
      </c>
      <c r="G301" s="23" t="inlineStr"/>
      <c r="H301" s="24" t="inlineStr"/>
      <c r="I301" s="18" t="inlineStr">
        <is>
          <t>N / F-DP-07</t>
        </is>
      </c>
    </row>
    <row r="302" ht="36" customHeight="1">
      <c r="A302" s="17" t="inlineStr">
        <is>
          <t>Q-03</t>
        </is>
      </c>
      <c r="B302" s="18" t="inlineStr">
        <is>
          <t>判断の経験則</t>
        </is>
      </c>
      <c r="C302" s="19" t="inlineStr">
        <is>
          <t>値下げの評価軸</t>
        </is>
      </c>
      <c r="D302" s="26" t="inlineStr">
        <is>
          <t>判定ルール</t>
        </is>
      </c>
      <c r="E302" s="21" t="inlineStr">
        <is>
          <t>値下げの成否は「予約が入ったか」ではなく「RevPAR（ネット）が上がったか」。稼働+10ptで単価−15%は失敗。</t>
        </is>
      </c>
      <c r="F302" s="22" t="inlineStr">
        <is>
          <t>—</t>
        </is>
      </c>
      <c r="G302" s="23" t="inlineStr"/>
      <c r="H302" s="24" t="inlineStr"/>
      <c r="I302" s="18" t="inlineStr">
        <is>
          <t>A / F-DP-01</t>
        </is>
      </c>
    </row>
    <row r="303" ht="36" customHeight="1">
      <c r="A303" s="17" t="inlineStr">
        <is>
          <t>Q-04</t>
        </is>
      </c>
      <c r="B303" s="18" t="inlineStr">
        <is>
          <t>判断の経験則</t>
        </is>
      </c>
      <c r="C303" s="19" t="inlineStr">
        <is>
          <t>直前値下げは自分のカーブを壊す</t>
        </is>
      </c>
      <c r="D303" s="27" t="inlineStr">
        <is>
          <t>注意</t>
        </is>
      </c>
      <c r="E303" s="21" t="inlineStr">
        <is>
          <t>直前値下げが続くとゲストが待つようになり、早期予約が減ってカーブ全体が後ろ倒しになる。3か月単位で早期予約比率の推移を見る。</t>
        </is>
      </c>
      <c r="F303" s="22" t="inlineStr">
        <is>
          <t>早期予約比率を監視</t>
        </is>
      </c>
      <c r="G303" s="23" t="inlineStr"/>
      <c r="H303" s="24" t="inlineStr"/>
      <c r="I303" s="18" t="inlineStr">
        <is>
          <t>F-DAILY-01</t>
        </is>
      </c>
    </row>
    <row r="304" ht="36" customHeight="1">
      <c r="A304" s="17" t="inlineStr">
        <is>
          <t>Q-05</t>
        </is>
      </c>
      <c r="B304" s="18" t="inlineStr">
        <is>
          <t>判断の経験則</t>
        </is>
      </c>
      <c r="C304" s="19" t="inlineStr">
        <is>
          <t>残り数室は最も高い在庫</t>
        </is>
      </c>
      <c r="D304" s="26" t="inlineStr">
        <is>
          <t>判定ルール</t>
        </is>
      </c>
      <c r="E304" s="21" t="inlineStr">
        <is>
          <t>残在庫5%以下は最後まで上限維持。直前に空室で終わるリスクより、安く売って直前需要を逃す損失の方が大きい（弾力性が低い局面）。</t>
        </is>
      </c>
      <c r="F304" s="22" t="inlineStr">
        <is>
          <t>残 ≤5%</t>
        </is>
      </c>
      <c r="G304" s="23" t="inlineStr"/>
      <c r="H304" s="24" t="inlineStr"/>
      <c r="I304" s="18" t="inlineStr">
        <is>
          <t>F-DP-01</t>
        </is>
      </c>
    </row>
    <row r="305" ht="36" customHeight="1">
      <c r="A305" s="17" t="inlineStr">
        <is>
          <t>Q-06</t>
        </is>
      </c>
      <c r="B305" s="18" t="inlineStr">
        <is>
          <t>判断の経験則</t>
        </is>
      </c>
      <c r="C305" s="19" t="inlineStr">
        <is>
          <t>キャンセル期限の見かけの動き</t>
        </is>
      </c>
      <c r="D305" s="27" t="inlineStr">
        <is>
          <t>注意</t>
        </is>
      </c>
      <c r="E305" s="21" t="inlineStr">
        <is>
          <t>無料キャンセル期限の直前は予約が増え、直後にキャンセルが出る。期限前後3日のピックアップはネットで見るまで判断しない。</t>
        </is>
      </c>
      <c r="F305" s="22" t="inlineStr">
        <is>
          <t>期限 ±3日</t>
        </is>
      </c>
      <c r="G305" s="23" t="inlineStr"/>
      <c r="H305" s="24" t="inlineStr"/>
      <c r="I305" s="18" t="inlineStr">
        <is>
          <t>BookingCurveData</t>
        </is>
      </c>
    </row>
    <row r="306" ht="36" customHeight="1">
      <c r="A306" s="17" t="inlineStr">
        <is>
          <t>Q-07</t>
        </is>
      </c>
      <c r="B306" s="18" t="inlineStr">
        <is>
          <t>判断の経験則</t>
        </is>
      </c>
      <c r="C306" s="19" t="inlineStr">
        <is>
          <t>満室の翌年は強気に</t>
        </is>
      </c>
      <c r="D306" s="26" t="inlineStr">
        <is>
          <t>判定ルール</t>
        </is>
      </c>
      <c r="E306" s="21" t="inlineStr">
        <is>
          <t>満室で断った需要は記録に残らない。前年満室日は「前年実績＋10〜30%」の需要として翌年の初期価格を1〜2ランク上げてスタートする。</t>
        </is>
      </c>
      <c r="F306" s="22" t="inlineStr">
        <is>
          <t>+1〜2ランク</t>
        </is>
      </c>
      <c r="G306" s="23" t="inlineStr"/>
      <c r="H306" s="24" t="inlineStr"/>
      <c r="I306" s="18" t="inlineStr">
        <is>
          <t>C（制約なし需要）</t>
        </is>
      </c>
    </row>
    <row r="307" ht="36" customHeight="1">
      <c r="A307" s="17" t="inlineStr">
        <is>
          <t>Q-08</t>
        </is>
      </c>
      <c r="B307" s="18" t="inlineStr">
        <is>
          <t>判断の経験則</t>
        </is>
      </c>
      <c r="C307" s="19" t="inlineStr">
        <is>
          <t>団体価格は日替わり</t>
        </is>
      </c>
      <c r="D307" s="26" t="inlineStr">
        <is>
          <t>判定ルール</t>
        </is>
      </c>
      <c r="E307" s="21" t="inlineStr">
        <is>
          <t>団体の相場は「その日の個人需要の強さ」で決まる。年間一律の団体料金は繁忙日で大きく損をする。ハードルレートを日別に出す。</t>
        </is>
      </c>
      <c r="F307" s="22" t="inlineStr">
        <is>
          <t>—</t>
        </is>
      </c>
      <c r="G307" s="23" t="inlineStr"/>
      <c r="H307" s="24" t="inlineStr"/>
      <c r="I307" s="18" t="inlineStr">
        <is>
          <t>K / F-SET-05</t>
        </is>
      </c>
    </row>
    <row r="308" ht="36" customHeight="1">
      <c r="A308" s="17" t="inlineStr">
        <is>
          <t>Q-09</t>
        </is>
      </c>
      <c r="B308" s="18" t="inlineStr">
        <is>
          <t>判断の経験則</t>
        </is>
      </c>
      <c r="C308" s="19" t="inlineStr">
        <is>
          <t>イベントは周辺に波及する</t>
        </is>
      </c>
      <c r="D308" s="26" t="inlineStr">
        <is>
          <t>判定ルール</t>
        </is>
      </c>
      <c r="E308" s="21" t="inlineStr">
        <is>
          <t>自館に直接来ないイベントでも、商圏全体の在庫が減れば流入が来る。半径3〜5kmの大型施設の日程は全て登録対象。</t>
        </is>
      </c>
      <c r="F308" s="22" t="inlineStr">
        <is>
          <t>半径3〜5km</t>
        </is>
      </c>
      <c r="G308" s="23" t="inlineStr"/>
      <c r="H308" s="24" t="inlineStr"/>
      <c r="I308" s="18" t="inlineStr">
        <is>
          <t>H / F-DP-07</t>
        </is>
      </c>
    </row>
    <row r="309" ht="36" customHeight="1">
      <c r="A309" s="17" t="inlineStr">
        <is>
          <t>Q-10</t>
        </is>
      </c>
      <c r="B309" s="18" t="inlineStr">
        <is>
          <t>判断の経験則</t>
        </is>
      </c>
      <c r="C309" s="19" t="inlineStr">
        <is>
          <t>閑散日は露出→条件→価格</t>
        </is>
      </c>
      <c r="D309" s="26" t="inlineStr">
        <is>
          <t>判定ルール</t>
        </is>
      </c>
      <c r="E309" s="21" t="inlineStr">
        <is>
          <t>弱い日の手当ては露出（順位・写真・プラン名）→条件（早割・連泊・朝食）→価格の順。価格から始めると単価もブランドも戻らない。</t>
        </is>
      </c>
      <c r="F309" s="22" t="inlineStr">
        <is>
          <t>—</t>
        </is>
      </c>
      <c r="G309" s="23" t="inlineStr"/>
      <c r="H309" s="24" t="inlineStr"/>
      <c r="I309" s="18" t="inlineStr">
        <is>
          <t>E / J</t>
        </is>
      </c>
    </row>
    <row r="310" ht="36" customHeight="1">
      <c r="A310" s="17" t="inlineStr">
        <is>
          <t>Q-11</t>
        </is>
      </c>
      <c r="B310" s="18" t="inlineStr">
        <is>
          <t>判断の経験則</t>
        </is>
      </c>
      <c r="C310" s="19" t="inlineStr">
        <is>
          <t>日曜泊の境目</t>
        </is>
      </c>
      <c r="D310" s="26" t="inlineStr">
        <is>
          <t>判定ルール</t>
        </is>
      </c>
      <c r="E310" s="21" t="inlineStr">
        <is>
          <t>週末が強い施設ほど日曜泊（週末価格から平日価格への境目）の設定で収益差が出る。日曜を平日と同一視せず「日曜専用ベースランク」を持つ。</t>
        </is>
      </c>
      <c r="F310" s="22" t="inlineStr">
        <is>
          <t>日曜ベースランク</t>
        </is>
      </c>
      <c r="G310" s="23" t="inlineStr"/>
      <c r="H310" s="24" t="inlineStr"/>
      <c r="I310" s="18" t="inlineStr">
        <is>
          <t>F / Hotel.weekendDays</t>
        </is>
      </c>
    </row>
    <row r="311" ht="36" customHeight="1">
      <c r="A311" s="17" t="inlineStr">
        <is>
          <t>Q-12</t>
        </is>
      </c>
      <c r="B311" s="18" t="inlineStr">
        <is>
          <t>判断の経験則</t>
        </is>
      </c>
      <c r="C311" s="19" t="inlineStr">
        <is>
          <t>平均は嘘をつく</t>
        </is>
      </c>
      <c r="D311" s="27" t="inlineStr">
        <is>
          <t>注意</t>
        </is>
      </c>
      <c r="E311" s="21" t="inlineStr">
        <is>
          <t>月平均が予算どおりでも、火・水が崩れて金・土で補っている等の偏りがある。必ず曜日別・日別に割って見る。</t>
        </is>
      </c>
      <c r="F311" s="22" t="inlineStr">
        <is>
          <t>—</t>
        </is>
      </c>
      <c r="G311" s="23" t="inlineStr"/>
      <c r="H311" s="24" t="inlineStr"/>
      <c r="I311" s="18" t="inlineStr">
        <is>
          <t>A / F-ANA</t>
        </is>
      </c>
    </row>
    <row r="312" ht="36" customHeight="1">
      <c r="A312" s="17" t="inlineStr">
        <is>
          <t>Q-13</t>
        </is>
      </c>
      <c r="B312" s="18" t="inlineStr">
        <is>
          <t>判断の経験則</t>
        </is>
      </c>
      <c r="C312" s="19" t="inlineStr">
        <is>
          <t>競合は鏡ではなく風向計</t>
        </is>
      </c>
      <c r="D312" s="27" t="inlineStr">
        <is>
          <t>注意</t>
        </is>
      </c>
      <c r="E312" s="21" t="inlineStr">
        <is>
          <t>競合価格は「自館がいくらで売るべきか」ではなく「市場の需要がどちらに向いているか」を示す。追従ではなく読解に使う。</t>
        </is>
      </c>
      <c r="F312" s="22" t="inlineStr">
        <is>
          <t>—</t>
        </is>
      </c>
      <c r="G312" s="23" t="inlineStr"/>
      <c r="H312" s="24" t="inlineStr"/>
      <c r="I312" s="18" t="inlineStr">
        <is>
          <t>I</t>
        </is>
      </c>
    </row>
    <row r="313" ht="36" customHeight="1">
      <c r="A313" s="17" t="inlineStr">
        <is>
          <t>Q-14</t>
        </is>
      </c>
      <c r="B313" s="18" t="inlineStr">
        <is>
          <t>判断の経験則</t>
        </is>
      </c>
      <c r="C313" s="19" t="inlineStr">
        <is>
          <t>予測は当てるものではなく直すもの</t>
        </is>
      </c>
      <c r="D313" s="27" t="inlineStr">
        <is>
          <t>注意</t>
        </is>
      </c>
      <c r="E313" s="21" t="inlineStr">
        <is>
          <t>予測の価値は精度そのものより「毎日更新され、外れた理由が記録され、次に活かされる」こと。外れを隠さず記録する文化が精度を上げる。</t>
        </is>
      </c>
      <c r="F313" s="22" t="inlineStr">
        <is>
          <t>—</t>
        </is>
      </c>
      <c r="G313" s="23" t="inlineStr"/>
      <c r="H313" s="24" t="inlineStr"/>
      <c r="I313" s="18" t="inlineStr">
        <is>
          <t>C / M</t>
        </is>
      </c>
    </row>
    <row r="314" ht="36" customHeight="1">
      <c r="A314" s="17" t="inlineStr">
        <is>
          <t>Q-15</t>
        </is>
      </c>
      <c r="B314" s="18" t="inlineStr">
        <is>
          <t>判断の経験則</t>
        </is>
      </c>
      <c r="C314" s="19" t="inlineStr">
        <is>
          <t>小さく速く何度でも</t>
        </is>
      </c>
      <c r="D314" s="26" t="inlineStr">
        <is>
          <t>判定ルール</t>
        </is>
      </c>
      <c r="E314" s="21" t="inlineStr">
        <is>
          <t>価格変更は大きく1回より小さく何度も。1日1回・±1〜2ランクの積み重ねが、大幅変更1回より取りこぼしが少なくリスクも小さい。</t>
        </is>
      </c>
      <c r="F314" s="22" t="inlineStr">
        <is>
          <t>±1〜2ランク/日</t>
        </is>
      </c>
      <c r="G314" s="23" t="inlineStr"/>
      <c r="H314" s="24" t="inlineStr"/>
      <c r="I314" s="18" t="inlineStr">
        <is>
          <t>E</t>
        </is>
      </c>
    </row>
    <row r="315" ht="36" customHeight="1">
      <c r="A315" s="17" t="inlineStr">
        <is>
          <t>Q-16</t>
        </is>
      </c>
      <c r="B315" s="18" t="inlineStr">
        <is>
          <t>判断の経験則</t>
        </is>
      </c>
      <c r="C315" s="19" t="inlineStr">
        <is>
          <t>上げるのは早く、下げるのは遅く</t>
        </is>
      </c>
      <c r="D315" s="26" t="inlineStr">
        <is>
          <t>判定ルール</t>
        </is>
      </c>
      <c r="E315" s="21" t="inlineStr">
        <is>
          <t>上振れの兆候（ペース+、競合売止め）には即日反応し、下振れの兆候には原因確認を挟んで1〜2日待つ。非対称に動くのが正しい。</t>
        </is>
      </c>
      <c r="F315" s="22" t="inlineStr">
        <is>
          <t>—</t>
        </is>
      </c>
      <c r="G315" s="23" t="inlineStr"/>
      <c r="H315" s="24" t="inlineStr"/>
      <c r="I315" s="18" t="inlineStr">
        <is>
          <t>E</t>
        </is>
      </c>
    </row>
    <row r="316" ht="22" customHeight="1">
      <c r="A316" s="16" t="inlineStr">
        <is>
          <t>R　アンチパターン　　（関連: 運用全般）</t>
        </is>
      </c>
    </row>
    <row r="317" ht="36" customHeight="1">
      <c r="A317" s="17" t="inlineStr">
        <is>
          <t>R-01</t>
        </is>
      </c>
      <c r="B317" s="18" t="inlineStr">
        <is>
          <t>アンチパターン</t>
        </is>
      </c>
      <c r="C317" s="19" t="inlineStr">
        <is>
          <t>早売りしすぎ</t>
        </is>
      </c>
      <c r="D317" s="30" t="inlineStr">
        <is>
          <t>アンチパターン</t>
        </is>
      </c>
      <c r="E317" s="21" t="inlineStr">
        <is>
          <t>繁忙日を早期の安値で埋め、直前の高単価需要を逃す。→ 繁忙日ほど段階的に値上げし、早割・安値プランを早期に停止。90日超の低価格OTBを監視。</t>
        </is>
      </c>
      <c r="F317" s="22" t="inlineStr">
        <is>
          <t>—</t>
        </is>
      </c>
      <c r="G317" s="23" t="inlineStr"/>
      <c r="H317" s="24" t="inlineStr"/>
      <c r="I317" s="18" t="inlineStr">
        <is>
          <t>E / K</t>
        </is>
      </c>
    </row>
    <row r="318" ht="36" customHeight="1">
      <c r="A318" s="17" t="inlineStr">
        <is>
          <t>R-02</t>
        </is>
      </c>
      <c r="B318" s="18" t="inlineStr">
        <is>
          <t>アンチパターン</t>
        </is>
      </c>
      <c r="C318" s="19" t="inlineStr">
        <is>
          <t>直前の投げ売り</t>
        </is>
      </c>
      <c r="D318" s="30" t="inlineStr">
        <is>
          <t>アンチパターン</t>
        </is>
      </c>
      <c r="E318" s="21" t="inlineStr">
        <is>
          <t>直前に大きく値下げして稼働を買う。→ 3日前以内の値下げは残在庫≥20%かつ−2ランク以内に制限。常態化をアラートで可視化。</t>
        </is>
      </c>
      <c r="F318" s="22" t="inlineStr">
        <is>
          <t>—</t>
        </is>
      </c>
      <c r="G318" s="23" t="inlineStr"/>
      <c r="H318" s="24" t="inlineStr"/>
      <c r="I318" s="18" t="inlineStr">
        <is>
          <t>E / N</t>
        </is>
      </c>
    </row>
    <row r="319" ht="36" customHeight="1">
      <c r="A319" s="17" t="inlineStr">
        <is>
          <t>R-03</t>
        </is>
      </c>
      <c r="B319" s="18" t="inlineStr">
        <is>
          <t>アンチパターン</t>
        </is>
      </c>
      <c r="C319" s="19" t="inlineStr">
        <is>
          <t>競合追従の値下げ合戦</t>
        </is>
      </c>
      <c r="D319" s="30" t="inlineStr">
        <is>
          <t>アンチパターン</t>
        </is>
      </c>
      <c r="E319" s="21" t="inlineStr">
        <is>
          <t>1社の値下げに全員が追従し市場単価が崩れる。→ 需要レベルC以上なら追従しない。追従度は参照度であり自動追従ではない。</t>
        </is>
      </c>
      <c r="F319" s="22" t="inlineStr">
        <is>
          <t>—</t>
        </is>
      </c>
      <c r="G319" s="23" t="inlineStr"/>
      <c r="H319" s="24" t="inlineStr"/>
      <c r="I319" s="18" t="inlineStr">
        <is>
          <t>I / E</t>
        </is>
      </c>
    </row>
    <row r="320" ht="36" customHeight="1">
      <c r="A320" s="17" t="inlineStr">
        <is>
          <t>R-04</t>
        </is>
      </c>
      <c r="B320" s="18" t="inlineStr">
        <is>
          <t>アンチパターン</t>
        </is>
      </c>
      <c r="C320" s="19" t="inlineStr">
        <is>
          <t>平均値の罠</t>
        </is>
      </c>
      <c r="D320" s="30" t="inlineStr">
        <is>
          <t>アンチパターン</t>
        </is>
      </c>
      <c r="E320" s="21" t="inlineStr">
        <is>
          <t>月平均で判断し曜日・日別の崩れを見逃す。→ 日別・曜日別・セグメント別に分解して見る。</t>
        </is>
      </c>
      <c r="F320" s="22" t="inlineStr">
        <is>
          <t>—</t>
        </is>
      </c>
      <c r="G320" s="23" t="inlineStr"/>
      <c r="H320" s="24" t="inlineStr"/>
      <c r="I320" s="18" t="inlineStr">
        <is>
          <t>A</t>
        </is>
      </c>
    </row>
    <row r="321" ht="36" customHeight="1">
      <c r="A321" s="17" t="inlineStr">
        <is>
          <t>R-05</t>
        </is>
      </c>
      <c r="B321" s="18" t="inlineStr">
        <is>
          <t>アンチパターン</t>
        </is>
      </c>
      <c r="C321" s="19" t="inlineStr">
        <is>
          <t>イベント登録漏れ</t>
        </is>
      </c>
      <c r="D321" s="30" t="inlineStr">
        <is>
          <t>アンチパターン</t>
        </is>
      </c>
      <c r="E321" s="21" t="inlineStr">
        <is>
          <t>大型イベント日を通常価格で売り切る。→ 繰り返しイベントの自動候補生成、90日前登録期限、未登録疑いアラート。</t>
        </is>
      </c>
      <c r="F321" s="22" t="inlineStr">
        <is>
          <t>—</t>
        </is>
      </c>
      <c r="G321" s="23" t="inlineStr"/>
      <c r="H321" s="24" t="inlineStr"/>
      <c r="I321" s="18" t="inlineStr">
        <is>
          <t>H / N</t>
        </is>
      </c>
    </row>
    <row r="322" ht="36" customHeight="1">
      <c r="A322" s="17" t="inlineStr">
        <is>
          <t>R-06</t>
        </is>
      </c>
      <c r="B322" s="18" t="inlineStr">
        <is>
          <t>アンチパターン</t>
        </is>
      </c>
      <c r="C322" s="19" t="inlineStr">
        <is>
          <t>レートパリティ崩れ</t>
        </is>
      </c>
      <c r="D322" s="30" t="inlineStr">
        <is>
          <t>アンチパターン</t>
        </is>
      </c>
      <c r="E322" s="21" t="inlineStr">
        <is>
          <t>チャネル間で価格がずれ、OTA順位低下・ベストレート違反。→ ±3%監視アラート、サイトコントローラー月次点検。</t>
        </is>
      </c>
      <c r="F322" s="22" t="inlineStr">
        <is>
          <t>—</t>
        </is>
      </c>
      <c r="G322" s="23" t="inlineStr"/>
      <c r="H322" s="24" t="inlineStr"/>
      <c r="I322" s="18" t="inlineStr">
        <is>
          <t>J / N</t>
        </is>
      </c>
    </row>
    <row r="323" ht="36" customHeight="1">
      <c r="A323" s="17" t="inlineStr">
        <is>
          <t>R-07</t>
        </is>
      </c>
      <c r="B323" s="18" t="inlineStr">
        <is>
          <t>アンチパターン</t>
        </is>
      </c>
      <c r="C323" s="19" t="inlineStr">
        <is>
          <t>部屋タイプ放置</t>
        </is>
      </c>
      <c r="D323" s="30" t="inlineStr">
        <is>
          <t>アンチパターン</t>
        </is>
      </c>
      <c r="E323" s="21" t="inlineStr">
        <is>
          <t>下位タイプだけ完売し上位が余る。→ 繁忙日はタイプ間価格差を縮めアップセル、稼働差20ptで価格差見直し。</t>
        </is>
      </c>
      <c r="F323" s="22" t="inlineStr">
        <is>
          <t>—</t>
        </is>
      </c>
      <c r="G323" s="23" t="inlineStr"/>
      <c r="H323" s="24" t="inlineStr"/>
      <c r="I323" s="18" t="inlineStr">
        <is>
          <t>L</t>
        </is>
      </c>
    </row>
    <row r="324" ht="36" customHeight="1">
      <c r="A324" s="17" t="inlineStr">
        <is>
          <t>R-08</t>
        </is>
      </c>
      <c r="B324" s="18" t="inlineStr">
        <is>
          <t>アンチパターン</t>
        </is>
      </c>
      <c r="C324" s="19" t="inlineStr">
        <is>
          <t>記録なしの価格変更</t>
        </is>
      </c>
      <c r="D324" s="30" t="inlineStr">
        <is>
          <t>アンチパターン</t>
        </is>
      </c>
      <c r="E324" s="21" t="inlineStr">
        <is>
          <t>理由のない変更が積み重なり検証も引き継ぎもできない。→ 全変更に理由を必須化し監査ログに残す。</t>
        </is>
      </c>
      <c r="F324" s="22" t="inlineStr">
        <is>
          <t>—</t>
        </is>
      </c>
      <c r="G324" s="23" t="inlineStr"/>
      <c r="H324" s="24" t="inlineStr"/>
      <c r="I324" s="18" t="inlineStr">
        <is>
          <t>P / AuditLog</t>
        </is>
      </c>
    </row>
    <row r="325" ht="36" customHeight="1">
      <c r="A325" s="17" t="inlineStr">
        <is>
          <t>R-09</t>
        </is>
      </c>
      <c r="B325" s="18" t="inlineStr">
        <is>
          <t>アンチパターン</t>
        </is>
      </c>
      <c r="C325" s="19" t="inlineStr">
        <is>
          <t>予測の過信</t>
        </is>
      </c>
      <c r="D325" s="30" t="inlineStr">
        <is>
          <t>アンチパターン</t>
        </is>
      </c>
      <c r="E325" s="21" t="inlineStr">
        <is>
          <t>低確信度の予測で大きく動かして外す。→ 確信度と変更幅を連動（conf&lt;0.6 は ±1ランク）、限定表現を付ける。</t>
        </is>
      </c>
      <c r="F325" s="22" t="inlineStr">
        <is>
          <t>—</t>
        </is>
      </c>
      <c r="G325" s="23" t="inlineStr"/>
      <c r="H325" s="24" t="inlineStr"/>
      <c r="I325" s="18" t="inlineStr">
        <is>
          <t>C / O</t>
        </is>
      </c>
    </row>
    <row r="326" ht="36" customHeight="1">
      <c r="A326" s="17" t="inlineStr">
        <is>
          <t>R-10</t>
        </is>
      </c>
      <c r="B326" s="18" t="inlineStr">
        <is>
          <t>アンチパターン</t>
        </is>
      </c>
      <c r="C326" s="19" t="inlineStr">
        <is>
          <t>団体の年間一律料金</t>
        </is>
      </c>
      <c r="D326" s="30" t="inlineStr">
        <is>
          <t>アンチパターン</t>
        </is>
      </c>
      <c r="E326" s="21" t="inlineStr">
        <is>
          <t>繁忙日も閑散日も同じ団体料金で受け、繁忙日の個人需要を押し出す。→ 日別ハードルレートとディスプレイスメント分析。</t>
        </is>
      </c>
      <c r="F326" s="22" t="inlineStr">
        <is>
          <t>—</t>
        </is>
      </c>
      <c r="G326" s="23" t="inlineStr"/>
      <c r="H326" s="24" t="inlineStr"/>
      <c r="I326" s="18" t="inlineStr">
        <is>
          <t>K</t>
        </is>
      </c>
    </row>
    <row r="327" ht="36" customHeight="1">
      <c r="A327" s="17" t="inlineStr">
        <is>
          <t>R-11</t>
        </is>
      </c>
      <c r="B327" s="18" t="inlineStr">
        <is>
          <t>アンチパターン</t>
        </is>
      </c>
      <c r="C327" s="19" t="inlineStr">
        <is>
          <t>グロスOTBでの判断</t>
        </is>
      </c>
      <c r="D327" s="30" t="inlineStr">
        <is>
          <t>アンチパターン</t>
        </is>
      </c>
      <c r="E327" s="21" t="inlineStr">
        <is>
          <t>キャンセル前の予約数でピックアップを見て、直前の在庫戻りに驚く。→ OTBはネット保存、キャンセル期限前後はネットで判断。</t>
        </is>
      </c>
      <c r="F327" s="22" t="inlineStr">
        <is>
          <t>—</t>
        </is>
      </c>
      <c r="G327" s="23" t="inlineStr"/>
      <c r="H327" s="24" t="inlineStr"/>
      <c r="I327" s="18" t="inlineStr">
        <is>
          <t>B</t>
        </is>
      </c>
    </row>
    <row r="328" ht="36" customHeight="1">
      <c r="A328" s="17" t="inlineStr">
        <is>
          <t>R-12</t>
        </is>
      </c>
      <c r="B328" s="18" t="inlineStr">
        <is>
          <t>アンチパターン</t>
        </is>
      </c>
      <c r="C328" s="19" t="inlineStr">
        <is>
          <t>前年同日付の比較</t>
        </is>
      </c>
      <c r="D328" s="30" t="inlineStr">
        <is>
          <t>アンチパターン</t>
        </is>
      </c>
      <c r="E328" s="21" t="inlineStr">
        <is>
          <t>365日前の同日付と比べて曜日ずれで誤読する。→ 364日前の同曜日、祝日は暦位置で対応付け。</t>
        </is>
      </c>
      <c r="F328" s="22" t="inlineStr">
        <is>
          <t>—</t>
        </is>
      </c>
      <c r="G328" s="23" t="inlineStr"/>
      <c r="H328" s="24" t="inlineStr"/>
      <c r="I328" s="18" t="inlineStr">
        <is>
          <t>A / C</t>
        </is>
      </c>
    </row>
    <row r="329" ht="36" customHeight="1">
      <c r="A329" s="17" t="inlineStr">
        <is>
          <t>R-13</t>
        </is>
      </c>
      <c r="B329" s="18" t="inlineStr">
        <is>
          <t>アンチパターン</t>
        </is>
      </c>
      <c r="C329" s="19" t="inlineStr">
        <is>
          <t>アラートの氾濫</t>
        </is>
      </c>
      <c r="D329" s="30" t="inlineStr">
        <is>
          <t>アンチパターン</t>
        </is>
      </c>
      <c r="E329" s="21" t="inlineStr">
        <is>
          <t>重要度の低い通知が多すぎて全部無視される。→ 表示はLevel 4以上、24時間重複排除、対応率で閾値を見直す。</t>
        </is>
      </c>
      <c r="F329" s="22" t="inlineStr">
        <is>
          <t>—</t>
        </is>
      </c>
      <c r="G329" s="23" t="inlineStr"/>
      <c r="H329" s="24" t="inlineStr"/>
      <c r="I329" s="18" t="inlineStr">
        <is>
          <t>N</t>
        </is>
      </c>
    </row>
    <row r="330" ht="36" customHeight="1">
      <c r="A330" s="17" t="inlineStr">
        <is>
          <t>R-14</t>
        </is>
      </c>
      <c r="B330" s="18" t="inlineStr">
        <is>
          <t>アンチパターン</t>
        </is>
      </c>
      <c r="C330" s="19" t="inlineStr">
        <is>
          <t>ブラックボックスの推奨</t>
        </is>
      </c>
      <c r="D330" s="30" t="inlineStr">
        <is>
          <t>アンチパターン</t>
        </is>
      </c>
      <c r="E330" s="21" t="inlineStr">
        <is>
          <t>理由のない推奨価格は現場に採用されず、上書きが常態化する。→ 推奨に内訳（基準・残在庫・ペース・競合・イベント）を必ず添える。</t>
        </is>
      </c>
      <c r="F330" s="22" t="inlineStr">
        <is>
          <t>—</t>
        </is>
      </c>
      <c r="G330" s="23" t="inlineStr"/>
      <c r="H330" s="24" t="inlineStr"/>
      <c r="I330" s="18" t="inlineStr">
        <is>
          <t>E / O</t>
        </is>
      </c>
    </row>
  </sheetData>
  <autoFilter ref="A1:I330"/>
  <mergeCells count="18">
    <mergeCell ref="A316:I316"/>
    <mergeCell ref="A25:I25"/>
    <mergeCell ref="A73:I73"/>
    <mergeCell ref="A2:I2"/>
    <mergeCell ref="A299:I299"/>
    <mergeCell ref="A286:I286"/>
    <mergeCell ref="A203:I203"/>
    <mergeCell ref="A40:I40"/>
    <mergeCell ref="A188:I188"/>
    <mergeCell ref="A126:I126"/>
    <mergeCell ref="A231:I231"/>
    <mergeCell ref="A220:I220"/>
    <mergeCell ref="A154:I154"/>
    <mergeCell ref="A267:I267"/>
    <mergeCell ref="A139:I139"/>
    <mergeCell ref="A171:I171"/>
    <mergeCell ref="A248:I248"/>
    <mergeCell ref="A86:I86"/>
  </mergeCells>
  <conditionalFormatting sqref="G2:G330">
    <cfRule type="cellIs" priority="1" operator="equal" dxfId="0">
      <formula>"問題なし"</formula>
    </cfRule>
    <cfRule type="cellIs" priority="2" operator="equal" dxfId="1">
      <formula>"修正あり"</formula>
    </cfRule>
  </conditionalFormatting>
  <dataValidations count="1">
    <dataValidation sqref="G2:G330" showDropDown="0" showInputMessage="0" showErrorMessage="0" allowBlank="1" error="プルダウンから選択してください" type="list">
      <formula1>"問題なし,修正あり,わからない"</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showGridLines="0" workbookViewId="0">
      <pane ySplit="1" topLeftCell="A2" activePane="bottomLeft" state="frozen"/>
      <selection pane="bottomLeft" activeCell="A1" sqref="A1"/>
    </sheetView>
  </sheetViews>
  <sheetFormatPr baseColWidth="8" defaultRowHeight="15"/>
  <cols>
    <col width="6" customWidth="1" min="1" max="1"/>
    <col width="32" customWidth="1" min="2" max="2"/>
    <col width="60" customWidth="1" min="3" max="3"/>
    <col width="12" customWidth="1" min="4" max="4"/>
    <col width="40" customWidth="1" min="5" max="5"/>
  </cols>
  <sheetData>
    <row r="1">
      <c r="A1" s="15" t="inlineStr">
        <is>
          <t>No</t>
        </is>
      </c>
      <c r="B1" s="15" t="inlineStr">
        <is>
          <t>用語</t>
        </is>
      </c>
      <c r="C1" s="15" t="inlineStr">
        <is>
          <t>意味</t>
        </is>
      </c>
      <c r="D1" s="15" t="inlineStr">
        <is>
          <t>判定</t>
        </is>
      </c>
      <c r="E1" s="15" t="inlineStr">
        <is>
          <t>コメント（訂正・追加したい用語など）</t>
        </is>
      </c>
    </row>
    <row r="2">
      <c r="A2" s="31" t="n">
        <v>1</v>
      </c>
      <c r="B2" s="19" t="inlineStr">
        <is>
          <t>OCC（稼働率）</t>
        </is>
      </c>
      <c r="C2" s="21" t="inlineStr">
        <is>
          <t>販売客室数 ÷ 販売可能客室数（OOO除外）</t>
        </is>
      </c>
      <c r="D2" s="23" t="inlineStr"/>
      <c r="E2" s="24" t="inlineStr"/>
    </row>
    <row r="3">
      <c r="A3" s="31" t="n">
        <v>2</v>
      </c>
      <c r="B3" s="19" t="inlineStr">
        <is>
          <t>ADR</t>
        </is>
      </c>
      <c r="C3" s="21" t="inlineStr">
        <is>
          <t>平均客室単価。客室売上 ÷ 販売客室数（税・付帯除外）</t>
        </is>
      </c>
      <c r="D3" s="23" t="inlineStr"/>
      <c r="E3" s="24" t="inlineStr"/>
    </row>
    <row r="4">
      <c r="A4" s="31" t="n">
        <v>3</v>
      </c>
      <c r="B4" s="19" t="inlineStr">
        <is>
          <t>RevPAR / REV-Per</t>
        </is>
      </c>
      <c r="C4" s="21" t="inlineStr">
        <is>
          <t>販売可能客室1室あたり売上 = OCC × ADR</t>
        </is>
      </c>
      <c r="D4" s="23" t="inlineStr"/>
      <c r="E4" s="24" t="inlineStr"/>
    </row>
    <row r="5">
      <c r="A5" s="31" t="n">
        <v>4</v>
      </c>
      <c r="B5" s="19" t="inlineStr">
        <is>
          <t>TRevPAR</t>
        </is>
      </c>
      <c r="C5" s="21" t="inlineStr">
        <is>
          <t>総売上（料飲等含む）÷ 販売可能客室数</t>
        </is>
      </c>
      <c r="D5" s="23" t="inlineStr"/>
      <c r="E5" s="24" t="inlineStr"/>
    </row>
    <row r="6">
      <c r="A6" s="31" t="n">
        <v>5</v>
      </c>
      <c r="B6" s="19" t="inlineStr">
        <is>
          <t>GOPPAR</t>
        </is>
      </c>
      <c r="C6" s="21" t="inlineStr">
        <is>
          <t>営業総利益 ÷ 販売可能客室数</t>
        </is>
      </c>
      <c r="D6" s="23" t="inlineStr"/>
      <c r="E6" s="24" t="inlineStr"/>
    </row>
    <row r="7">
      <c r="A7" s="31" t="n">
        <v>6</v>
      </c>
      <c r="B7" s="19" t="inlineStr">
        <is>
          <t>DOR</t>
        </is>
      </c>
      <c r="C7" s="21" t="inlineStr">
        <is>
          <t>1室あたり利用人数 = 宿泊人数 ÷ 販売室数</t>
        </is>
      </c>
      <c r="D7" s="23" t="inlineStr"/>
      <c r="E7" s="24" t="inlineStr"/>
    </row>
    <row r="8">
      <c r="A8" s="31" t="n">
        <v>7</v>
      </c>
      <c r="B8" s="19" t="inlineStr">
        <is>
          <t>客単価（人単価）</t>
        </is>
      </c>
      <c r="C8" s="21" t="inlineStr">
        <is>
          <t>客室売上 ÷ 宿泊人数 = ADR ÷ DOR</t>
        </is>
      </c>
      <c r="D8" s="23" t="inlineStr"/>
      <c r="E8" s="24" t="inlineStr"/>
    </row>
    <row r="9">
      <c r="A9" s="31" t="n">
        <v>8</v>
      </c>
      <c r="B9" s="19" t="inlineStr">
        <is>
          <t>ネットADR / ネットRevPAR</t>
        </is>
      </c>
      <c r="C9" s="21" t="inlineStr">
        <is>
          <t>チャネル手数料控除後のADR / RevPAR</t>
        </is>
      </c>
      <c r="D9" s="23" t="inlineStr"/>
      <c r="E9" s="24" t="inlineStr"/>
    </row>
    <row r="10">
      <c r="A10" s="31" t="n">
        <v>9</v>
      </c>
      <c r="B10" s="19" t="inlineStr">
        <is>
          <t>OTB（On The Books）</t>
        </is>
      </c>
      <c r="C10" s="21" t="inlineStr">
        <is>
          <t>現時点で確定している予約（キャンセル控除後）</t>
        </is>
      </c>
      <c r="D10" s="23" t="inlineStr"/>
      <c r="E10" s="24" t="inlineStr"/>
    </row>
    <row r="11">
      <c r="A11" s="31" t="n">
        <v>10</v>
      </c>
      <c r="B11" s="19" t="inlineStr">
        <is>
          <t>ピックアップ</t>
        </is>
      </c>
      <c r="C11" s="21" t="inlineStr">
        <is>
          <t>一定期間に積み上がった予約の増分（ネット）</t>
        </is>
      </c>
      <c r="D11" s="23" t="inlineStr"/>
      <c r="E11" s="24" t="inlineStr"/>
    </row>
    <row r="12">
      <c r="A12" s="31" t="n">
        <v>11</v>
      </c>
      <c r="B12" s="19" t="inlineStr">
        <is>
          <t>ペース</t>
        </is>
      </c>
      <c r="C12" s="21" t="inlineStr">
        <is>
          <t>同リードタイム時点の前年（STLY）とのOTB差</t>
        </is>
      </c>
      <c r="D12" s="23" t="inlineStr"/>
      <c r="E12" s="24" t="inlineStr"/>
    </row>
    <row r="13">
      <c r="A13" s="31" t="n">
        <v>12</v>
      </c>
      <c r="B13" s="19" t="inlineStr">
        <is>
          <t>STLY / STLW</t>
        </is>
      </c>
      <c r="C13" s="21" t="inlineStr">
        <is>
          <t>Same Time Last Year / Last Week。同リードタイム時点の前年・前週比較</t>
        </is>
      </c>
      <c r="D13" s="23" t="inlineStr"/>
      <c r="E13" s="24" t="inlineStr"/>
    </row>
    <row r="14">
      <c r="A14" s="31" t="n">
        <v>13</v>
      </c>
      <c r="B14" s="19" t="inlineStr">
        <is>
          <t>ブッキングカーブ</t>
        </is>
      </c>
      <c r="C14" s="21" t="inlineStr">
        <is>
          <t>宿泊日に向けたOTBの積み上がり曲線（リードタイム軸）</t>
        </is>
      </c>
      <c r="D14" s="23" t="inlineStr"/>
      <c r="E14" s="24" t="inlineStr"/>
    </row>
    <row r="15">
      <c r="A15" s="31" t="n">
        <v>14</v>
      </c>
      <c r="B15" s="19" t="inlineStr">
        <is>
          <t>目標カーブ</t>
        </is>
      </c>
      <c r="C15" s="21" t="inlineStr">
        <is>
          <t>過去同等日・予算から作る基準のブッキングカーブ</t>
        </is>
      </c>
      <c r="D15" s="23" t="inlineStr"/>
      <c r="E15" s="24" t="inlineStr"/>
    </row>
    <row r="16">
      <c r="A16" s="31" t="n">
        <v>15</v>
      </c>
      <c r="B16" s="19" t="inlineStr">
        <is>
          <t>リードタイム</t>
        </is>
      </c>
      <c r="C16" s="21" t="inlineStr">
        <is>
          <t>予約日から宿泊日までの日数</t>
        </is>
      </c>
      <c r="D16" s="23" t="inlineStr"/>
      <c r="E16" s="24" t="inlineStr"/>
    </row>
    <row r="17">
      <c r="A17" s="31" t="n">
        <v>16</v>
      </c>
      <c r="B17" s="19" t="inlineStr">
        <is>
          <t>残需要</t>
        </is>
      </c>
      <c r="C17" s="21" t="inlineStr">
        <is>
          <t>予測最終需要 − 現在OTB</t>
        </is>
      </c>
      <c r="D17" s="23" t="inlineStr"/>
      <c r="E17" s="24" t="inlineStr"/>
    </row>
    <row r="18">
      <c r="A18" s="31" t="n">
        <v>17</v>
      </c>
      <c r="B18" s="19" t="inlineStr">
        <is>
          <t>制約なし需要（Unconstrained Demand）</t>
        </is>
      </c>
      <c r="C18" s="21" t="inlineStr">
        <is>
          <t>満室・売止めがなかった場合の本当の需要</t>
        </is>
      </c>
      <c r="D18" s="23" t="inlineStr"/>
      <c r="E18" s="24" t="inlineStr"/>
    </row>
    <row r="19">
      <c r="A19" s="31" t="n">
        <v>18</v>
      </c>
      <c r="B19" s="19" t="inlineStr">
        <is>
          <t>フォーキャスト</t>
        </is>
      </c>
      <c r="C19" s="21" t="inlineStr">
        <is>
          <t>着地見込みの予測（日別・月別）</t>
        </is>
      </c>
      <c r="D19" s="23" t="inlineStr"/>
      <c r="E19" s="24" t="inlineStr"/>
    </row>
    <row r="20">
      <c r="A20" s="31" t="n">
        <v>19</v>
      </c>
      <c r="B20" s="19" t="inlineStr">
        <is>
          <t>MAPE / Bias</t>
        </is>
      </c>
      <c r="C20" s="21" t="inlineStr">
        <is>
          <t>平均絶対誤差率 / 平均符号付き誤差（予測の精度と癖）</t>
        </is>
      </c>
      <c r="D20" s="23" t="inlineStr"/>
      <c r="E20" s="24" t="inlineStr"/>
    </row>
    <row r="21">
      <c r="A21" s="31" t="n">
        <v>20</v>
      </c>
      <c r="B21" s="19" t="inlineStr">
        <is>
          <t>需要レベル</t>
        </is>
      </c>
      <c r="C21" s="21" t="inlineStr">
        <is>
          <t>A〜Eの5段階の需要強度区分</t>
        </is>
      </c>
      <c r="D21" s="23" t="inlineStr"/>
      <c r="E21" s="24" t="inlineStr"/>
    </row>
    <row r="22">
      <c r="A22" s="31" t="n">
        <v>21</v>
      </c>
      <c r="B22" s="19" t="inlineStr">
        <is>
          <t>料金ランク</t>
        </is>
      </c>
      <c r="C22" s="21" t="inlineStr">
        <is>
          <t>40段階の価格帯区分（R01〜R40）。1P〜4Pの価格を持つ</t>
        </is>
      </c>
      <c r="D22" s="23" t="inlineStr"/>
      <c r="E22" s="24" t="inlineStr"/>
    </row>
    <row r="23">
      <c r="A23" s="31" t="n">
        <v>22</v>
      </c>
      <c r="B23" s="19" t="inlineStr">
        <is>
          <t>BAR（Best Available Rate）</t>
        </is>
      </c>
      <c r="C23" s="21" t="inlineStr">
        <is>
          <t>その時点で誰でも予約できる最良価格。変動価格の基準</t>
        </is>
      </c>
      <c r="D23" s="23" t="inlineStr"/>
      <c r="E23" s="24" t="inlineStr"/>
    </row>
    <row r="24">
      <c r="A24" s="31" t="n">
        <v>23</v>
      </c>
      <c r="B24" s="19" t="inlineStr">
        <is>
          <t>レートフェンス</t>
        </is>
      </c>
      <c r="C24" s="21" t="inlineStr">
        <is>
          <t>返金不可・早期予約など条件による料金の仕切り</t>
        </is>
      </c>
      <c r="D24" s="23" t="inlineStr"/>
      <c r="E24" s="24" t="inlineStr"/>
    </row>
    <row r="25">
      <c r="A25" s="31" t="n">
        <v>24</v>
      </c>
      <c r="B25" s="19" t="inlineStr">
        <is>
          <t>レートパリティ</t>
        </is>
      </c>
      <c r="C25" s="21" t="inlineStr">
        <is>
          <t>チャネル間で同条件の価格を揃えること</t>
        </is>
      </c>
      <c r="D25" s="23" t="inlineStr"/>
      <c r="E25" s="24" t="inlineStr"/>
    </row>
    <row r="26">
      <c r="A26" s="31" t="n">
        <v>25</v>
      </c>
      <c r="B26" s="19" t="inlineStr">
        <is>
          <t>価格弾力性</t>
        </is>
      </c>
      <c r="C26" s="21" t="inlineStr">
        <is>
          <t>価格変化率に対する需要変化率。|値|&gt;1で値下げが売上増</t>
        </is>
      </c>
      <c r="D26" s="23" t="inlineStr"/>
      <c r="E26" s="24" t="inlineStr"/>
    </row>
    <row r="27">
      <c r="A27" s="31" t="n">
        <v>26</v>
      </c>
      <c r="B27" s="19" t="inlineStr">
        <is>
          <t>Last Room Value（LRV）</t>
        </is>
      </c>
      <c r="C27" s="21" t="inlineStr">
        <is>
          <t>残り最後の1室の価値。直前需要の期待単価</t>
        </is>
      </c>
      <c r="D27" s="23" t="inlineStr"/>
      <c r="E27" s="24" t="inlineStr"/>
    </row>
    <row r="28">
      <c r="A28" s="31" t="n">
        <v>27</v>
      </c>
      <c r="B28" s="19" t="inlineStr">
        <is>
          <t>ハードルレート</t>
        </is>
      </c>
      <c r="C28" s="21" t="inlineStr">
        <is>
          <t>団体・大口を受け入れるための最低価格（押し出す個人需要の単価）</t>
        </is>
      </c>
      <c r="D28" s="23" t="inlineStr"/>
      <c r="E28" s="24" t="inlineStr"/>
    </row>
    <row r="29">
      <c r="A29" s="31" t="n">
        <v>28</v>
      </c>
      <c r="B29" s="19" t="inlineStr">
        <is>
          <t>ディスプレイスメント</t>
        </is>
      </c>
      <c r="C29" s="21" t="inlineStr">
        <is>
          <t>大口予約が押し出す他の需要（機会損失）</t>
        </is>
      </c>
      <c r="D29" s="23" t="inlineStr"/>
      <c r="E29" s="24" t="inlineStr"/>
    </row>
    <row r="30">
      <c r="A30" s="31" t="n">
        <v>29</v>
      </c>
      <c r="B30" s="19" t="inlineStr">
        <is>
          <t>ウォッシュ</t>
        </is>
      </c>
      <c r="C30" s="21" t="inlineStr">
        <is>
          <t>団体ブロックのうち消化されない割合</t>
        </is>
      </c>
      <c r="D30" s="23" t="inlineStr"/>
      <c r="E30" s="24" t="inlineStr"/>
    </row>
    <row r="31">
      <c r="A31" s="31" t="n">
        <v>30</v>
      </c>
      <c r="B31" s="19" t="inlineStr">
        <is>
          <t>カットオフ</t>
        </is>
      </c>
      <c r="C31" s="21" t="inlineStr">
        <is>
          <t>団体ブロックの室数確定期限</t>
        </is>
      </c>
      <c r="D31" s="23" t="inlineStr"/>
      <c r="E31" s="24" t="inlineStr"/>
    </row>
    <row r="32">
      <c r="A32" s="31" t="n">
        <v>31</v>
      </c>
      <c r="B32" s="19" t="inlineStr">
        <is>
          <t>LRA / NLRA</t>
        </is>
      </c>
      <c r="C32" s="21" t="inlineStr">
        <is>
          <t>法人契約で最終1室まで契約価格販売の義務あり / なし</t>
        </is>
      </c>
      <c r="D32" s="23" t="inlineStr"/>
      <c r="E32" s="24" t="inlineStr"/>
    </row>
    <row r="33">
      <c r="A33" s="31" t="n">
        <v>32</v>
      </c>
      <c r="B33" s="19" t="inlineStr">
        <is>
          <t>Min LOS</t>
        </is>
      </c>
      <c r="C33" s="21" t="inlineStr">
        <is>
          <t>最低泊数制限</t>
        </is>
      </c>
      <c r="D33" s="23" t="inlineStr"/>
      <c r="E33" s="24" t="inlineStr"/>
    </row>
    <row r="34">
      <c r="A34" s="31" t="n">
        <v>33</v>
      </c>
      <c r="B34" s="19" t="inlineStr">
        <is>
          <t>CTA / CTD</t>
        </is>
      </c>
      <c r="C34" s="21" t="inlineStr">
        <is>
          <t>到着日クローズ / 出発日クローズ</t>
        </is>
      </c>
      <c r="D34" s="23" t="inlineStr"/>
      <c r="E34" s="24" t="inlineStr"/>
    </row>
    <row r="35">
      <c r="A35" s="31" t="n">
        <v>34</v>
      </c>
      <c r="B35" s="19" t="inlineStr">
        <is>
          <t>クローズアウト</t>
        </is>
      </c>
      <c r="C35" s="21" t="inlineStr">
        <is>
          <t>特定チャネル・プランの販売停止</t>
        </is>
      </c>
      <c r="D35" s="23" t="inlineStr"/>
      <c r="E35" s="24" t="inlineStr"/>
    </row>
    <row r="36">
      <c r="A36" s="31" t="n">
        <v>35</v>
      </c>
      <c r="B36" s="19" t="inlineStr">
        <is>
          <t>オーバーブッキング</t>
        </is>
      </c>
      <c r="C36" s="21" t="inlineStr">
        <is>
          <t>ノーショーを見込み販売可能数を超えて受けること</t>
        </is>
      </c>
      <c r="D36" s="23" t="inlineStr"/>
      <c r="E36" s="24" t="inlineStr"/>
    </row>
    <row r="37">
      <c r="A37" s="31" t="n">
        <v>36</v>
      </c>
      <c r="B37" s="19" t="inlineStr">
        <is>
          <t>ノーショー</t>
        </is>
      </c>
      <c r="C37" s="21" t="inlineStr">
        <is>
          <t>予約したまま連絡なく現れないこと</t>
        </is>
      </c>
      <c r="D37" s="23" t="inlineStr"/>
      <c r="E37" s="24" t="inlineStr"/>
    </row>
    <row r="38">
      <c r="A38" s="31" t="n">
        <v>37</v>
      </c>
      <c r="B38" s="19" t="inlineStr">
        <is>
          <t>OOO（Out of Order）</t>
        </is>
      </c>
      <c r="C38" s="21" t="inlineStr">
        <is>
          <t>故障・改装で販売不能の客室</t>
        </is>
      </c>
      <c r="D38" s="23" t="inlineStr"/>
      <c r="E38" s="24" t="inlineStr"/>
    </row>
    <row r="39">
      <c r="A39" s="31" t="n">
        <v>38</v>
      </c>
      <c r="B39" s="19" t="inlineStr">
        <is>
          <t>コンプセット</t>
        </is>
      </c>
      <c r="C39" s="21" t="inlineStr">
        <is>
          <t>比較対象とする競合ホテル群（4〜6社）</t>
        </is>
      </c>
      <c r="D39" s="23" t="inlineStr"/>
      <c r="E39" s="24" t="inlineStr"/>
    </row>
    <row r="40">
      <c r="A40" s="31" t="n">
        <v>39</v>
      </c>
      <c r="B40" s="19" t="inlineStr">
        <is>
          <t>MPI / ARI / RGI</t>
        </is>
      </c>
      <c r="C40" s="21" t="inlineStr">
        <is>
          <t>コンプセット対比の稼働・単価・RevPARインデックス（100=市場並み）</t>
        </is>
      </c>
      <c r="D40" s="23" t="inlineStr"/>
      <c r="E40" s="24" t="inlineStr"/>
    </row>
    <row r="41">
      <c r="A41" s="31" t="n">
        <v>40</v>
      </c>
      <c r="B41" s="19" t="inlineStr">
        <is>
          <t>ポジション指数</t>
        </is>
      </c>
      <c r="C41" s="21" t="inlineStr">
        <is>
          <t>自館価格 ÷ コンプセット中央値</t>
        </is>
      </c>
      <c r="D41" s="23" t="inlineStr"/>
      <c r="E41" s="24" t="inlineStr"/>
    </row>
    <row r="42">
      <c r="A42" s="31" t="n">
        <v>41</v>
      </c>
      <c r="B42" s="19" t="inlineStr">
        <is>
          <t>実効手数料</t>
        </is>
      </c>
      <c r="C42" s="21" t="inlineStr">
        <is>
          <t>基本手数料＋ポイント原資＋決済手数料＋広告費の合計率</t>
        </is>
      </c>
      <c r="D42" s="23" t="inlineStr"/>
      <c r="E42" s="24" t="inlineStr"/>
    </row>
    <row r="43">
      <c r="A43" s="31" t="n">
        <v>42</v>
      </c>
      <c r="B43" s="19" t="inlineStr">
        <is>
          <t>OTA</t>
        </is>
      </c>
      <c r="C43" s="21" t="inlineStr">
        <is>
          <t>オンライン旅行会社（楽天トラベル、じゃらん、Booking.com等）</t>
        </is>
      </c>
      <c r="D43" s="23" t="inlineStr"/>
      <c r="E43" s="24" t="inlineStr"/>
    </row>
    <row r="44">
      <c r="A44" s="31" t="n">
        <v>43</v>
      </c>
      <c r="B44" s="19" t="inlineStr">
        <is>
          <t>サイトコントローラー</t>
        </is>
      </c>
      <c r="C44" s="21" t="inlineStr">
        <is>
          <t>複数OTAの在庫・料金を一元管理するツール</t>
        </is>
      </c>
      <c r="D44" s="23" t="inlineStr"/>
      <c r="E44" s="24" t="inlineStr"/>
    </row>
    <row r="45">
      <c r="A45" s="31" t="n">
        <v>44</v>
      </c>
      <c r="B45" s="19" t="inlineStr">
        <is>
          <t>PMS / RMS</t>
        </is>
      </c>
      <c r="C45" s="21" t="inlineStr">
        <is>
          <t>ホテル管理システム / レベニューマネジメントシステム</t>
        </is>
      </c>
      <c r="D45" s="23" t="inlineStr"/>
      <c r="E45" s="24" t="inlineStr"/>
    </row>
    <row r="46">
      <c r="A46" s="31" t="n">
        <v>45</v>
      </c>
      <c r="B46" s="19" t="inlineStr">
        <is>
          <t>セグメント</t>
        </is>
      </c>
      <c r="C46" s="21" t="inlineStr">
        <is>
          <t>客層の区分（ビジネス・レジャー・インバウンド・団体・法人）。チャネルとは別軸</t>
        </is>
      </c>
      <c r="D46" s="23" t="inlineStr"/>
      <c r="E46" s="24" t="inlineStr"/>
    </row>
    <row r="47">
      <c r="A47" s="31" t="n">
        <v>46</v>
      </c>
      <c r="B47" s="19" t="inlineStr">
        <is>
          <t>アップセル</t>
        </is>
      </c>
      <c r="C47" s="21" t="inlineStr">
        <is>
          <t>上位部屋タイプ・付帯への誘導販売</t>
        </is>
      </c>
      <c r="D47" s="23" t="inlineStr"/>
      <c r="E47" s="24" t="inlineStr"/>
    </row>
    <row r="48">
      <c r="A48" s="31" t="n">
        <v>47</v>
      </c>
      <c r="B48" s="19" t="inlineStr">
        <is>
          <t>ウォークイン</t>
        </is>
      </c>
      <c r="C48" s="21" t="inlineStr">
        <is>
          <t>予約なしの当日来館客</t>
        </is>
      </c>
      <c r="D48" s="23" t="inlineStr"/>
      <c r="E48" s="24" t="inlineStr"/>
    </row>
    <row r="49">
      <c r="A49" s="31" t="n">
        <v>48</v>
      </c>
      <c r="B49" s="19" t="inlineStr">
        <is>
          <t>インバウンド</t>
        </is>
      </c>
      <c r="C49" s="21" t="inlineStr">
        <is>
          <t>訪日外国人需要</t>
        </is>
      </c>
      <c r="D49" s="23" t="inlineStr"/>
      <c r="E49" s="24" t="inlineStr"/>
    </row>
    <row r="50">
      <c r="A50" s="31" t="n">
        <v>49</v>
      </c>
      <c r="B50" s="19" t="inlineStr">
        <is>
          <t>KPIスナップショット</t>
        </is>
      </c>
      <c r="C50" s="21" t="inlineStr">
        <is>
          <t>月初・週次等の時点でKPIを凍結保存したもの</t>
        </is>
      </c>
      <c r="D50" s="23" t="inlineStr"/>
      <c r="E50" s="24" t="inlineStr"/>
    </row>
    <row r="51">
      <c r="A51" s="31" t="n">
        <v>50</v>
      </c>
      <c r="B51" s="19" t="inlineStr">
        <is>
          <t>確信度</t>
        </is>
      </c>
      <c r="C51" s="21" t="inlineStr">
        <is>
          <t>予測の信頼度（0〜1）。データ充足・過去精度・異常要因で算出</t>
        </is>
      </c>
      <c r="D51" s="23" t="inlineStr"/>
      <c r="E51" s="24" t="inlineStr"/>
    </row>
  </sheetData>
  <conditionalFormatting sqref="D2:D51">
    <cfRule type="cellIs" priority="1" operator="equal" dxfId="0">
      <formula>"問題なし"</formula>
    </cfRule>
    <cfRule type="cellIs" priority="2" operator="equal" dxfId="1">
      <formula>"修正あり"</formula>
    </cfRule>
  </conditionalFormatting>
  <dataValidations count="1">
    <dataValidation sqref="D2:D51" showDropDown="0" showInputMessage="0" showErrorMessage="0" allowBlank="1" error="プルダウンから選択してください" type="list">
      <formula1>"問題なし,修正あり,わからない"</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8"/>
  <sheetViews>
    <sheetView showGridLines="0" workbookViewId="0">
      <selection activeCell="A1" sqref="A1"/>
    </sheetView>
  </sheetViews>
  <sheetFormatPr baseColWidth="8" defaultRowHeight="15"/>
  <cols>
    <col width="3" customWidth="1" min="1" max="1"/>
    <col width="46" customWidth="1" min="2" max="2"/>
    <col width="80" customWidth="1" min="3" max="3"/>
  </cols>
  <sheetData>
    <row r="2">
      <c r="B2" s="32" t="inlineStr">
        <is>
          <t>全体を通してのご意見</t>
        </is>
      </c>
    </row>
    <row r="4" ht="64" customHeight="1">
      <c r="B4" s="33" t="inlineStr">
        <is>
          <t>全体として実務感覚に合っていますか（合っている / 一部ズレあり など）</t>
        </is>
      </c>
      <c r="C4" s="34" t="inlineStr"/>
    </row>
    <row r="5" ht="64" customHeight="1">
      <c r="B5" s="33" t="inlineStr">
        <is>
          <t>カテゴリごと・テーマごと足りていないものがあれば</t>
        </is>
      </c>
      <c r="C5" s="34" t="inlineStr"/>
    </row>
    <row r="6" ht="64" customHeight="1">
      <c r="B6" s="33" t="inlineStr">
        <is>
          <t>推奨パラメータ（閾値・pt・ランク幅）で「これは違う」と感じた代表的なものと、ご自身の感覚値</t>
        </is>
      </c>
      <c r="C6" s="34" t="inlineStr"/>
    </row>
    <row r="7" ht="64" customHeight="1">
      <c r="B7" s="33" t="inlineStr">
        <is>
          <t>貴館の特殊事情（客層・立地・季節性）で一般ルールが当てはまらない点</t>
        </is>
      </c>
      <c r="C7" s="34" t="inlineStr"/>
    </row>
    <row r="8" ht="64" customHeight="1">
      <c r="B8" s="33" t="inlineStr">
        <is>
          <t>その他、自由記入</t>
        </is>
      </c>
      <c r="C8" s="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2026-09-05T06:14:23Z</dcterms:created>
  <dcterms:modified xsi:type="dcterms:W3CDTF">2026-09-05T06:14:23Z</dcterms:modified>
</cp:coreProperties>
</file>